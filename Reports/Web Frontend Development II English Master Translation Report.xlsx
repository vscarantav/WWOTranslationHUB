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Bot Analysis" sheetId="2" r:id="rId2"/>
    <sheet name="Raw Logs" sheetId="3" r:id="rId3"/>
    <sheet name="Translated Pages" sheetId="4" r:id="rId4"/>
  </sheets>
  <definedNames>
    <definedName name="_xlnm._FilterDatabase" localSheetId="2" hidden="1">'Raw Logs'!$A$1:$J$26</definedName>
  </definedNames>
  <calcPr calcId="124519" fullCalcOnLoad="1"/>
</workbook>
</file>

<file path=xl/sharedStrings.xml><?xml version="1.0" encoding="utf-8"?>
<sst xmlns="http://schemas.openxmlformats.org/spreadsheetml/2006/main" count="173" uniqueCount="69">
  <si>
    <t>Course Translation Hub Analytics</t>
  </si>
  <si>
    <t>Automated Bot Performance &amp; Log Analysis</t>
  </si>
  <si>
    <t>Course: Web Frontend Development II (English Master) (WDD330 (English BYUI Term Master))</t>
  </si>
  <si>
    <t>Total Log Events</t>
  </si>
  <si>
    <t>Successful Operations</t>
  </si>
  <si>
    <t>Errors / Warnings</t>
  </si>
  <si>
    <t>Filter Bot Activity:</t>
  </si>
  <si>
    <t>System</t>
  </si>
  <si>
    <t>Events for Selected Bot:</t>
  </si>
  <si>
    <t>Skipped Files</t>
  </si>
  <si>
    <t>File Extension</t>
  </si>
  <si>
    <t>Total Count</t>
  </si>
  <si>
    <t>Bot Name</t>
  </si>
  <si>
    <t>Total Events</t>
  </si>
  <si>
    <t>Successes</t>
  </si>
  <si>
    <t>Warnings</t>
  </si>
  <si>
    <t>Errors</t>
  </si>
  <si>
    <t>XMLTranslationBot</t>
  </si>
  <si>
    <t>AuditorBot</t>
  </si>
  <si>
    <t>XMLBot</t>
  </si>
  <si>
    <t>Timestamp</t>
  </si>
  <si>
    <t>Date</t>
  </si>
  <si>
    <t>Hour</t>
  </si>
  <si>
    <t>Target Language</t>
  </si>
  <si>
    <t>Event Type</t>
  </si>
  <si>
    <t>Bot</t>
  </si>
  <si>
    <t>File Path</t>
  </si>
  <si>
    <t>File Name</t>
  </si>
  <si>
    <t>Status</t>
  </si>
  <si>
    <t>Message</t>
  </si>
  <si>
    <t>PTBR</t>
  </si>
  <si>
    <t>Course Info</t>
  </si>
  <si>
    <t>Info</t>
  </si>
  <si>
    <t>Web Frontend Development II (English Master)|WDD330 (English BYUI Term Master)</t>
  </si>
  <si>
    <t>Log</t>
  </si>
  <si>
    <t>Canvas URL: https://byupw.instructure.com</t>
  </si>
  <si>
    <t>Source Course ID: 357</t>
  </si>
  <si>
    <t>Delegation</t>
  </si>
  <si>
    <t>c:\Users\vscaran\Desktop\DevProjects\WWOTranslationHUB\Courses to Translate\web-frontend-development-ii-english-master-export\g3903db9c7dc9ad10c2484e3fb83d1636.xml</t>
  </si>
  <si>
    <t>Success</t>
  </si>
  <si>
    <t>Delegating c:\Users\vscaran\Desktop\DevProjects\WWOTranslationHUB\Courses to Translate\web-frontend-development-ii-english-master-export\g3903db9c7dc9ad10c2484e3fb83d1636.xml to XMLTranslationBot</t>
  </si>
  <si>
    <t>Extraction Found</t>
  </si>
  <si>
    <t>Found 4 relevant glossary terms in text.</t>
  </si>
  <si>
    <t>Parsing XML safely with BeautifulSoup...</t>
  </si>
  <si>
    <t>Found 2 translatable nodes. Processing via character-based JSON batches...</t>
  </si>
  <si>
    <t>Translating batch 1/1 (approx 569 chars)...</t>
  </si>
  <si>
    <t>Saving translated content to C:\Users\vscaran\Desktop\DevProjects\WWOTranslationHUB\Courses to Translate\web-frontend-development-ii-english-master-export_PTBR\course_settings\module_meta.xml</t>
  </si>
  <si>
    <t>Translation complete for this file.</t>
  </si>
  <si>
    <t>Translated Page</t>
  </si>
  <si>
    <t>C:\Users\vscaran\Desktop\DevProjects\WWOTranslationHUB\Courses to Translate\web-frontend-development-ii-english-master-export_PTBR\course_settings\module_meta.xml</t>
  </si>
  <si>
    <t>module_meta.xml</t>
  </si>
  <si>
    <t>Course Resources (Do NOT Publish)</t>
  </si>
  <si>
    <t>C:\Users\vscaran\Desktop\DevProjects\WWOTranslationHUB\Courses to Translate\web-frontend-development-ii-english-master-export_PTBR\g00755eff8c0c35a16425cdcd7134724d\assessment_meta.xml</t>
  </si>
  <si>
    <t>Delegating C:\Users\vscaran\Desktop\DevProjects\WWOTranslationHUB\Courses to Translate\web-frontend-development-ii-english-master-export_PTBR\g00755eff8c0c35a16425cdcd7134724d\assessment_meta.xml to XMLTranslationBot</t>
  </si>
  <si>
    <t>Found 11 relevant glossary terms in text.</t>
  </si>
  <si>
    <t>Found 3 translatable nodes. Processing via character-based JSON batches...</t>
  </si>
  <si>
    <t>Translating batch 1/1 (approx 427 chars)...</t>
  </si>
  <si>
    <t>Saving translated content to C:\Users\vscaran\Desktop\DevProjects\WWOTranslationHUB\Courses to Translate\web-frontend-development-ii-english-master-export_PTBR\g00755eff8c0c35a16425cdcd7134724d\assessment_meta.xml</t>
  </si>
  <si>
    <t>assessment_meta.xml</t>
  </si>
  <si>
    <t>W03 Learning Activities</t>
  </si>
  <si>
    <t>C:\Users\vscaran\Desktop\DevProjects\WWOTranslationHUB\Courses to Translate\web-frontend-development-ii-english-master-export_PTBR\g00755eff8c0c35a16425cdcd7134724d\assessment_qti.xml</t>
  </si>
  <si>
    <t>Delegating C:\Users\vscaran\Desktop\DevProjects\WWOTranslationHUB\Courses to Translate\web-frontend-development-ii-english-master-export_PTBR\g00755eff8c0c35a16425cdcd7134724d\assessment_qti.xml to XMLTranslationBot</t>
  </si>
  <si>
    <t>Found 14 relevant glossary terms in text.</t>
  </si>
  <si>
    <t>Saving translated content to c:\Users\vscaran\Desktop\DevProjects\WWOTranslationHUB\Courses to Translate\web-frontend-development-ii-english-master-export\g3903db9c7dc9ad10c2484e3fb83d1636.xml</t>
  </si>
  <si>
    <t>g3903db9c7dc9ad10c2484e3fb83d1636.xml</t>
  </si>
  <si>
    <t>Use Your Program Plan to Register For Your Next Class</t>
  </si>
  <si>
    <t>Generating Excel Analytics Dashboard...</t>
  </si>
  <si>
    <t>Page Name</t>
  </si>
  <si>
    <t>Flag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</si>
</sst>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0">
    <font>
      <sz val="11"/>
      <color theme="1"/>
      <name val="Calibri"/>
      <family val="2"/>
      <scheme val="minor"/>
    </font>
    <font>
      <b/>
      <sz val="26"/>
      <color rgb="FF2C3E50"/>
      <name val="Calibri"/>
      <family val="2"/>
      <scheme val="minor"/>
    </font>
    <font>
      <b/>
      <sz val="14"/>
      <color rgb="FF7F8C8D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rgb="FF2C3E5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2980B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CF0F1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F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7" fillId="0" borderId="0" xfId="0" applyFont="1"/>
    <xf numFmtId="0" fontId="0" fillId="6" borderId="1" xfId="0" applyFill="1" applyBorder="1"/>
    <xf numFmtId="0" fontId="8" fillId="0" borderId="0" xfId="0" applyFont="1"/>
    <xf numFmtId="0" fontId="9" fillId="0" borderId="0" xfId="0" applyFont="1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3">
    <dxf>
      <font>
        <color rgb="FF1B5E20"/>
      </font>
      <fill>
        <patternFill>
          <bgColor rgb="FFC8E6C9"/>
        </patternFill>
      </fill>
    </dxf>
    <dxf>
      <font>
        <color rgb="FFE65100"/>
      </font>
      <fill>
        <patternFill>
          <bgColor rgb="FFFFE082"/>
        </patternFill>
      </fill>
    </dxf>
    <dxf>
      <font>
        <color rgb="FFB71C1C"/>
      </font>
      <fill>
        <patternFill>
          <bgColor rgb="FFFFCDD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Bot Reliability Breakdown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Successes</c:v>
          </c:tx>
          <c:spPr>
            <a:solidFill>
              <a:srgbClr val="4CAF50"/>
            </a:solidFill>
          </c:spPr>
          <c:cat>
            <c:strRef>
              <c:f>'Bot Analysis'!$A$2:$A$5</c:f>
              <c:strCache>
                <c:ptCount val="4"/>
                <c:pt idx="0">
                  <c:v>System</c:v>
                </c:pt>
                <c:pt idx="1">
                  <c:v>XMLTranslationBot</c:v>
                </c:pt>
                <c:pt idx="2">
                  <c:v>AuditorBot</c:v>
                </c:pt>
                <c:pt idx="3">
                  <c:v>XMLBot</c:v>
                </c:pt>
              </c:strCache>
            </c:strRef>
          </c:cat>
          <c:val>
            <c:numRef>
              <c:f>'Bot Analysis'!$C$2:$C$5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v>Warnings</c:v>
          </c:tx>
          <c:spPr>
            <a:solidFill>
              <a:srgbClr val="FFC107"/>
            </a:solidFill>
          </c:spPr>
          <c:cat>
            <c:strRef>
              <c:f>'Bot Analysis'!$A$2:$A$5</c:f>
              <c:strCache>
                <c:ptCount val="4"/>
                <c:pt idx="0">
                  <c:v>System</c:v>
                </c:pt>
                <c:pt idx="1">
                  <c:v>XMLTranslationBot</c:v>
                </c:pt>
                <c:pt idx="2">
                  <c:v>AuditorBot</c:v>
                </c:pt>
                <c:pt idx="3">
                  <c:v>XMLBot</c:v>
                </c:pt>
              </c:strCache>
            </c:strRef>
          </c:cat>
          <c:val>
            <c:numRef>
              <c:f>'Bot Analysis'!$D$2:$D$5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v>Errors</c:v>
          </c:tx>
          <c:spPr>
            <a:solidFill>
              <a:srgbClr val="F44336"/>
            </a:solidFill>
          </c:spPr>
          <c:cat>
            <c:strRef>
              <c:f>'Bot Analysis'!$A$2:$A$5</c:f>
              <c:strCache>
                <c:ptCount val="4"/>
                <c:pt idx="0">
                  <c:v>System</c:v>
                </c:pt>
                <c:pt idx="1">
                  <c:v>XMLTranslationBot</c:v>
                </c:pt>
                <c:pt idx="2">
                  <c:v>AuditorBot</c:v>
                </c:pt>
                <c:pt idx="3">
                  <c:v>XMLBot</c:v>
                </c:pt>
              </c:strCache>
            </c:strRef>
          </c:cat>
          <c:val>
            <c:numRef>
              <c:f>'Bot Analysis'!$E$2:$E$5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4</xdr:col>
      <xdr:colOff>1333500</xdr:colOff>
      <xdr:row>30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9"/>
  <sheetViews>
    <sheetView showGridLines="0" tabSelected="1" workbookViewId="0"/>
  </sheetViews>
  <sheetFormatPr defaultRowHeight="15"/>
  <cols>
    <col min="1" max="1" width="2.7109375" customWidth="1"/>
    <col min="2" max="7" width="20.7109375" customWidth="1"/>
    <col min="9" max="9" width="40.7109375" customWidth="1"/>
    <col min="11" max="12" width="15.7109375" customWidth="1"/>
  </cols>
  <sheetData>
    <row r="2" spans="2:12" ht="40" customHeight="1">
      <c r="B2" s="1" t="s">
        <v>0</v>
      </c>
      <c r="C2" s="1"/>
      <c r="D2" s="1"/>
      <c r="E2" s="1"/>
      <c r="F2" s="1"/>
      <c r="G2" s="1"/>
    </row>
    <row r="3" spans="2:12">
      <c r="B3" s="2" t="s">
        <v>1</v>
      </c>
      <c r="C3" s="2"/>
      <c r="D3" s="2"/>
      <c r="E3" s="2"/>
      <c r="F3" s="2"/>
      <c r="G3" s="2"/>
    </row>
    <row r="4" spans="2:12">
      <c r="B4" s="3" t="s">
        <v>2</v>
      </c>
      <c r="C4" s="3"/>
      <c r="D4" s="3"/>
      <c r="E4" s="3"/>
      <c r="F4" s="3"/>
      <c r="G4" s="3"/>
    </row>
    <row r="5" spans="2:12">
      <c r="B5" s="4" t="s">
        <v>3</v>
      </c>
      <c r="D5" s="4" t="s">
        <v>4</v>
      </c>
      <c r="F5" s="4" t="s">
        <v>5</v>
      </c>
      <c r="I5" s="5" t="s">
        <v>9</v>
      </c>
      <c r="K5" s="5" t="s">
        <v>10</v>
      </c>
      <c r="L5" s="5" t="s">
        <v>11</v>
      </c>
    </row>
    <row r="6" spans="2:12">
      <c r="B6" s="6">
        <f>COUNTA('Raw Logs'!A:A)-1</f>
        <v>0</v>
      </c>
      <c r="D6" s="6">
        <f>COUNTIF('Raw Logs'!I:I, "Success")</f>
        <v>0</v>
      </c>
      <c r="F6" s="6">
        <f>COUNTIF('Raw Logs'!I:I, "Error") + COUNTIF('Raw Logs'!I:I, "Warning")</f>
        <v>0</v>
      </c>
    </row>
    <row r="8" spans="2:12">
      <c r="B8" s="7" t="s">
        <v>6</v>
      </c>
      <c r="C8" s="8" t="s">
        <v>7</v>
      </c>
    </row>
    <row r="9" spans="2:12">
      <c r="B9" s="9" t="s">
        <v>8</v>
      </c>
      <c r="C9" s="10">
        <f>COUNTIF('Raw Logs'!F:F, C8)</f>
        <v>0</v>
      </c>
    </row>
  </sheetData>
  <mergeCells count="3">
    <mergeCell ref="B2:G2"/>
    <mergeCell ref="B3:G3"/>
    <mergeCell ref="B4:G4"/>
  </mergeCells>
  <dataValidations count="1">
    <dataValidation type="list" allowBlank="1" showInputMessage="1" showErrorMessage="1" sqref="C8">
      <formula1>"System,XMLTranslationBot,AuditorBot,XMLBot"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5" width="20.7109375" customWidth="1"/>
  </cols>
  <sheetData>
    <row r="1" spans="1:5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</row>
    <row r="2" spans="1:5">
      <c r="A2" s="11" t="s">
        <v>7</v>
      </c>
      <c r="B2" s="11">
        <f>COUNTIFS('Raw Logs'!F:F, "System")</f>
        <v>0</v>
      </c>
      <c r="C2" s="11">
        <f>COUNTIFS('Raw Logs'!F:F, "System", 'Raw Logs'!I:I, "Success")</f>
        <v>0</v>
      </c>
      <c r="D2" s="11">
        <f>COUNTIFS('Raw Logs'!F:F, "System", 'Raw Logs'!I:I, "Warning")</f>
        <v>0</v>
      </c>
      <c r="E2" s="11">
        <f>COUNTIFS('Raw Logs'!F:F, "System", 'Raw Logs'!I:I, "Error")</f>
        <v>0</v>
      </c>
    </row>
    <row r="3" spans="1:5">
      <c r="A3" s="11" t="s">
        <v>17</v>
      </c>
      <c r="B3" s="11">
        <f>COUNTIFS('Raw Logs'!F:F, "XMLTranslationBot")</f>
        <v>0</v>
      </c>
      <c r="C3" s="11">
        <f>COUNTIFS('Raw Logs'!F:F, "XMLTranslationBot", 'Raw Logs'!I:I, "Success")</f>
        <v>0</v>
      </c>
      <c r="D3" s="11">
        <f>COUNTIFS('Raw Logs'!F:F, "XMLTranslationBot", 'Raw Logs'!I:I, "Warning")</f>
        <v>0</v>
      </c>
      <c r="E3" s="11">
        <f>COUNTIFS('Raw Logs'!F:F, "XMLTranslationBot", 'Raw Logs'!I:I, "Error")</f>
        <v>0</v>
      </c>
    </row>
    <row r="4" spans="1:5">
      <c r="A4" s="11" t="s">
        <v>18</v>
      </c>
      <c r="B4" s="11">
        <f>COUNTIFS('Raw Logs'!F:F, "AuditorBot")</f>
        <v>0</v>
      </c>
      <c r="C4" s="11">
        <f>COUNTIFS('Raw Logs'!F:F, "AuditorBot", 'Raw Logs'!I:I, "Success")</f>
        <v>0</v>
      </c>
      <c r="D4" s="11">
        <f>COUNTIFS('Raw Logs'!F:F, "AuditorBot", 'Raw Logs'!I:I, "Warning")</f>
        <v>0</v>
      </c>
      <c r="E4" s="11">
        <f>COUNTIFS('Raw Logs'!F:F, "AuditorBot", 'Raw Logs'!I:I, "Error")</f>
        <v>0</v>
      </c>
    </row>
    <row r="5" spans="1:5">
      <c r="A5" s="11" t="s">
        <v>19</v>
      </c>
      <c r="B5" s="11">
        <f>COUNTIFS('Raw Logs'!F:F, "XMLBot")</f>
        <v>0</v>
      </c>
      <c r="C5" s="11">
        <f>COUNTIFS('Raw Logs'!F:F, "XMLBot", 'Raw Logs'!I:I, "Success")</f>
        <v>0</v>
      </c>
      <c r="D5" s="11">
        <f>COUNTIFS('Raw Logs'!F:F, "XMLBot", 'Raw Logs'!I:I, "Warning")</f>
        <v>0</v>
      </c>
      <c r="E5" s="11">
        <f>COUNTIFS('Raw Logs'!F:F, "XMLBot", 'Raw Logs'!I:I, "Error")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5A5A6"/>
  </sheetPr>
  <dimension ref="A1:J26"/>
  <sheetViews>
    <sheetView workbookViewId="0"/>
  </sheetViews>
  <sheetFormatPr defaultRowHeight="15"/>
  <cols>
    <col min="1" max="1" width="20.7109375" customWidth="1"/>
    <col min="2" max="4" width="12.7109375" customWidth="1"/>
    <col min="5" max="6" width="20.7109375" customWidth="1"/>
    <col min="7" max="8" width="30.7109375" customWidth="1"/>
    <col min="9" max="9" width="15.7109375" customWidth="1"/>
    <col min="10" max="10" width="80.7109375" customWidth="1"/>
  </cols>
  <sheetData>
    <row r="1" spans="1:10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</row>
    <row r="2" spans="1:10">
      <c r="A2" s="12">
        <v>46251.65631944445</v>
      </c>
      <c r="B2" s="11">
        <v>46251</v>
      </c>
      <c r="C2" s="11">
        <v>15</v>
      </c>
      <c r="D2" s="11" t="s">
        <v>30</v>
      </c>
      <c r="E2" s="11" t="s">
        <v>31</v>
      </c>
      <c r="F2" s="11" t="s">
        <v>7</v>
      </c>
      <c r="G2" s="11"/>
      <c r="H2" s="11"/>
      <c r="I2" s="11" t="s">
        <v>32</v>
      </c>
      <c r="J2" s="11" t="s">
        <v>33</v>
      </c>
    </row>
    <row r="3" spans="1:10">
      <c r="A3" s="12">
        <v>46251.65631944445</v>
      </c>
      <c r="B3" s="11">
        <v>46251</v>
      </c>
      <c r="C3" s="11">
        <v>15</v>
      </c>
      <c r="D3" s="11" t="s">
        <v>30</v>
      </c>
      <c r="E3" s="11" t="s">
        <v>34</v>
      </c>
      <c r="F3" s="11" t="s">
        <v>7</v>
      </c>
      <c r="G3" s="11"/>
      <c r="H3" s="11"/>
      <c r="I3" s="11" t="s">
        <v>32</v>
      </c>
      <c r="J3" s="11" t="s">
        <v>35</v>
      </c>
    </row>
    <row r="4" spans="1:10">
      <c r="A4" s="12">
        <v>46251.65631944445</v>
      </c>
      <c r="B4" s="11">
        <v>46251</v>
      </c>
      <c r="C4" s="11">
        <v>15</v>
      </c>
      <c r="D4" s="11" t="s">
        <v>30</v>
      </c>
      <c r="E4" s="11" t="s">
        <v>34</v>
      </c>
      <c r="F4" s="11" t="s">
        <v>7</v>
      </c>
      <c r="G4" s="11"/>
      <c r="H4" s="11"/>
      <c r="I4" s="11" t="s">
        <v>32</v>
      </c>
      <c r="J4" s="11" t="s">
        <v>36</v>
      </c>
    </row>
    <row r="5" spans="1:10">
      <c r="A5" s="12">
        <v>46251.65631944445</v>
      </c>
      <c r="B5" s="11">
        <v>46251</v>
      </c>
      <c r="C5" s="11">
        <v>15</v>
      </c>
      <c r="D5" s="11" t="s">
        <v>30</v>
      </c>
      <c r="E5" s="11" t="s">
        <v>37</v>
      </c>
      <c r="F5" s="11" t="s">
        <v>17</v>
      </c>
      <c r="G5" s="11" t="s">
        <v>38</v>
      </c>
      <c r="H5" s="11" t="s">
        <v>38</v>
      </c>
      <c r="I5" s="11" t="s">
        <v>39</v>
      </c>
      <c r="J5" s="11" t="s">
        <v>40</v>
      </c>
    </row>
    <row r="6" spans="1:10">
      <c r="A6" s="12">
        <v>46251.65631944445</v>
      </c>
      <c r="B6" s="11">
        <v>46251</v>
      </c>
      <c r="C6" s="11">
        <v>15</v>
      </c>
      <c r="D6" s="11" t="s">
        <v>30</v>
      </c>
      <c r="E6" s="11" t="s">
        <v>41</v>
      </c>
      <c r="F6" s="11" t="s">
        <v>18</v>
      </c>
      <c r="G6" s="11"/>
      <c r="H6" s="11"/>
      <c r="I6" s="11" t="s">
        <v>39</v>
      </c>
      <c r="J6" s="11" t="s">
        <v>42</v>
      </c>
    </row>
    <row r="7" spans="1:10">
      <c r="A7" s="12">
        <v>46251.65631944445</v>
      </c>
      <c r="B7" s="11">
        <v>46251</v>
      </c>
      <c r="C7" s="11">
        <v>15</v>
      </c>
      <c r="D7" s="11" t="s">
        <v>30</v>
      </c>
      <c r="E7" s="11" t="s">
        <v>34</v>
      </c>
      <c r="F7" s="11" t="s">
        <v>19</v>
      </c>
      <c r="G7" s="11"/>
      <c r="H7" s="11"/>
      <c r="I7" s="11" t="s">
        <v>32</v>
      </c>
      <c r="J7" s="11" t="s">
        <v>43</v>
      </c>
    </row>
    <row r="8" spans="1:10">
      <c r="A8" s="12">
        <v>46251.65631944445</v>
      </c>
      <c r="B8" s="11">
        <v>46251</v>
      </c>
      <c r="C8" s="11">
        <v>15</v>
      </c>
      <c r="D8" s="11" t="s">
        <v>30</v>
      </c>
      <c r="E8" s="11" t="s">
        <v>41</v>
      </c>
      <c r="F8" s="11" t="s">
        <v>19</v>
      </c>
      <c r="G8" s="11"/>
      <c r="H8" s="11"/>
      <c r="I8" s="11" t="s">
        <v>39</v>
      </c>
      <c r="J8" s="11" t="s">
        <v>44</v>
      </c>
    </row>
    <row r="9" spans="1:10">
      <c r="A9" s="12">
        <v>46251.65631944445</v>
      </c>
      <c r="B9" s="11">
        <v>46251</v>
      </c>
      <c r="C9" s="11">
        <v>15</v>
      </c>
      <c r="D9" s="11" t="s">
        <v>30</v>
      </c>
      <c r="E9" s="11" t="s">
        <v>34</v>
      </c>
      <c r="F9" s="11" t="s">
        <v>19</v>
      </c>
      <c r="G9" s="11"/>
      <c r="H9" s="11"/>
      <c r="I9" s="11" t="s">
        <v>32</v>
      </c>
      <c r="J9" s="11" t="s">
        <v>45</v>
      </c>
    </row>
    <row r="10" spans="1:10">
      <c r="A10" s="12">
        <v>46251.65633101852</v>
      </c>
      <c r="B10" s="11">
        <v>46251</v>
      </c>
      <c r="C10" s="11">
        <v>15</v>
      </c>
      <c r="D10" s="11" t="s">
        <v>30</v>
      </c>
      <c r="E10" s="11" t="s">
        <v>34</v>
      </c>
      <c r="F10" s="11" t="s">
        <v>7</v>
      </c>
      <c r="G10" s="11"/>
      <c r="H10" s="11"/>
      <c r="I10" s="11" t="s">
        <v>32</v>
      </c>
      <c r="J10" s="11" t="s">
        <v>46</v>
      </c>
    </row>
    <row r="11" spans="1:10">
      <c r="A11" s="12">
        <v>46251.65633101852</v>
      </c>
      <c r="B11" s="11">
        <v>46251</v>
      </c>
      <c r="C11" s="11">
        <v>15</v>
      </c>
      <c r="D11" s="11" t="s">
        <v>30</v>
      </c>
      <c r="E11" s="11" t="s">
        <v>34</v>
      </c>
      <c r="F11" s="11" t="s">
        <v>7</v>
      </c>
      <c r="G11" s="11"/>
      <c r="H11" s="11"/>
      <c r="I11" s="11" t="s">
        <v>32</v>
      </c>
      <c r="J11" s="11" t="s">
        <v>47</v>
      </c>
    </row>
    <row r="12" spans="1:10">
      <c r="A12" s="12">
        <v>46251.65633101852</v>
      </c>
      <c r="B12" s="11">
        <v>46251</v>
      </c>
      <c r="C12" s="11">
        <v>15</v>
      </c>
      <c r="D12" s="11" t="s">
        <v>30</v>
      </c>
      <c r="E12" s="11" t="s">
        <v>48</v>
      </c>
      <c r="F12" s="11" t="s">
        <v>7</v>
      </c>
      <c r="G12" s="11" t="s">
        <v>49</v>
      </c>
      <c r="H12" s="11" t="s">
        <v>50</v>
      </c>
      <c r="I12" s="11" t="s">
        <v>39</v>
      </c>
      <c r="J12" s="11" t="s">
        <v>51</v>
      </c>
    </row>
    <row r="13" spans="1:10">
      <c r="A13" s="12">
        <v>46251.65633101852</v>
      </c>
      <c r="B13" s="11">
        <v>46251</v>
      </c>
      <c r="C13" s="11">
        <v>15</v>
      </c>
      <c r="D13" s="11" t="s">
        <v>30</v>
      </c>
      <c r="E13" s="11" t="s">
        <v>37</v>
      </c>
      <c r="F13" s="11" t="s">
        <v>17</v>
      </c>
      <c r="G13" s="11" t="s">
        <v>52</v>
      </c>
      <c r="H13" s="11" t="s">
        <v>52</v>
      </c>
      <c r="I13" s="11" t="s">
        <v>39</v>
      </c>
      <c r="J13" s="11" t="s">
        <v>53</v>
      </c>
    </row>
    <row r="14" spans="1:10">
      <c r="A14" s="12">
        <v>46251.65633101852</v>
      </c>
      <c r="B14" s="11">
        <v>46251</v>
      </c>
      <c r="C14" s="11">
        <v>15</v>
      </c>
      <c r="D14" s="11" t="s">
        <v>30</v>
      </c>
      <c r="E14" s="11" t="s">
        <v>41</v>
      </c>
      <c r="F14" s="11" t="s">
        <v>18</v>
      </c>
      <c r="G14" s="11"/>
      <c r="H14" s="11"/>
      <c r="I14" s="11" t="s">
        <v>39</v>
      </c>
      <c r="J14" s="11" t="s">
        <v>54</v>
      </c>
    </row>
    <row r="15" spans="1:10">
      <c r="A15" s="12">
        <v>46251.65633101852</v>
      </c>
      <c r="B15" s="11">
        <v>46251</v>
      </c>
      <c r="C15" s="11">
        <v>15</v>
      </c>
      <c r="D15" s="11" t="s">
        <v>30</v>
      </c>
      <c r="E15" s="11" t="s">
        <v>34</v>
      </c>
      <c r="F15" s="11" t="s">
        <v>19</v>
      </c>
      <c r="G15" s="11"/>
      <c r="H15" s="11"/>
      <c r="I15" s="11" t="s">
        <v>32</v>
      </c>
      <c r="J15" s="11" t="s">
        <v>43</v>
      </c>
    </row>
    <row r="16" spans="1:10">
      <c r="A16" s="12">
        <v>46251.65633101852</v>
      </c>
      <c r="B16" s="11">
        <v>46251</v>
      </c>
      <c r="C16" s="11">
        <v>15</v>
      </c>
      <c r="D16" s="11" t="s">
        <v>30</v>
      </c>
      <c r="E16" s="11" t="s">
        <v>41</v>
      </c>
      <c r="F16" s="11" t="s">
        <v>19</v>
      </c>
      <c r="G16" s="11"/>
      <c r="H16" s="11"/>
      <c r="I16" s="11" t="s">
        <v>39</v>
      </c>
      <c r="J16" s="11" t="s">
        <v>55</v>
      </c>
    </row>
    <row r="17" spans="1:10">
      <c r="A17" s="12">
        <v>46251.65633101852</v>
      </c>
      <c r="B17" s="11">
        <v>46251</v>
      </c>
      <c r="C17" s="11">
        <v>15</v>
      </c>
      <c r="D17" s="11" t="s">
        <v>30</v>
      </c>
      <c r="E17" s="11" t="s">
        <v>34</v>
      </c>
      <c r="F17" s="11" t="s">
        <v>19</v>
      </c>
      <c r="G17" s="11"/>
      <c r="H17" s="11"/>
      <c r="I17" s="11" t="s">
        <v>32</v>
      </c>
      <c r="J17" s="11" t="s">
        <v>56</v>
      </c>
    </row>
    <row r="18" spans="1:10">
      <c r="A18" s="12">
        <v>46251.65638888889</v>
      </c>
      <c r="B18" s="11">
        <v>46251</v>
      </c>
      <c r="C18" s="11">
        <v>15</v>
      </c>
      <c r="D18" s="11" t="s">
        <v>30</v>
      </c>
      <c r="E18" s="11" t="s">
        <v>34</v>
      </c>
      <c r="F18" s="11" t="s">
        <v>7</v>
      </c>
      <c r="G18" s="11"/>
      <c r="H18" s="11"/>
      <c r="I18" s="11" t="s">
        <v>32</v>
      </c>
      <c r="J18" s="11" t="s">
        <v>57</v>
      </c>
    </row>
    <row r="19" spans="1:10">
      <c r="A19" s="12">
        <v>46251.65638888889</v>
      </c>
      <c r="B19" s="11">
        <v>46251</v>
      </c>
      <c r="C19" s="11">
        <v>15</v>
      </c>
      <c r="D19" s="11" t="s">
        <v>30</v>
      </c>
      <c r="E19" s="11" t="s">
        <v>34</v>
      </c>
      <c r="F19" s="11" t="s">
        <v>7</v>
      </c>
      <c r="G19" s="11"/>
      <c r="H19" s="11"/>
      <c r="I19" s="11" t="s">
        <v>32</v>
      </c>
      <c r="J19" s="11" t="s">
        <v>47</v>
      </c>
    </row>
    <row r="20" spans="1:10">
      <c r="A20" s="12">
        <v>46251.65638888889</v>
      </c>
      <c r="B20" s="11">
        <v>46251</v>
      </c>
      <c r="C20" s="11">
        <v>15</v>
      </c>
      <c r="D20" s="11" t="s">
        <v>30</v>
      </c>
      <c r="E20" s="11" t="s">
        <v>48</v>
      </c>
      <c r="F20" s="11" t="s">
        <v>7</v>
      </c>
      <c r="G20" s="11" t="s">
        <v>52</v>
      </c>
      <c r="H20" s="11" t="s">
        <v>58</v>
      </c>
      <c r="I20" s="11" t="s">
        <v>39</v>
      </c>
      <c r="J20" s="11" t="s">
        <v>59</v>
      </c>
    </row>
    <row r="21" spans="1:10">
      <c r="A21" s="12">
        <v>46251.65638888889</v>
      </c>
      <c r="B21" s="11">
        <v>46251</v>
      </c>
      <c r="C21" s="11">
        <v>15</v>
      </c>
      <c r="D21" s="11" t="s">
        <v>30</v>
      </c>
      <c r="E21" s="11" t="s">
        <v>37</v>
      </c>
      <c r="F21" s="11" t="s">
        <v>17</v>
      </c>
      <c r="G21" s="11" t="s">
        <v>60</v>
      </c>
      <c r="H21" s="11" t="s">
        <v>60</v>
      </c>
      <c r="I21" s="11" t="s">
        <v>39</v>
      </c>
      <c r="J21" s="11" t="s">
        <v>61</v>
      </c>
    </row>
    <row r="22" spans="1:10">
      <c r="A22" s="12">
        <v>46251.65638888889</v>
      </c>
      <c r="B22" s="11">
        <v>46251</v>
      </c>
      <c r="C22" s="11">
        <v>15</v>
      </c>
      <c r="D22" s="11" t="s">
        <v>30</v>
      </c>
      <c r="E22" s="11" t="s">
        <v>41</v>
      </c>
      <c r="F22" s="11" t="s">
        <v>18</v>
      </c>
      <c r="G22" s="11"/>
      <c r="H22" s="11"/>
      <c r="I22" s="11" t="s">
        <v>39</v>
      </c>
      <c r="J22" s="11" t="s">
        <v>62</v>
      </c>
    </row>
    <row r="23" spans="1:10">
      <c r="A23" s="12">
        <v>46251.65638888889</v>
      </c>
      <c r="B23" s="11">
        <v>46251</v>
      </c>
      <c r="C23" s="11">
        <v>15</v>
      </c>
      <c r="D23" s="11" t="s">
        <v>30</v>
      </c>
      <c r="E23" s="11" t="s">
        <v>34</v>
      </c>
      <c r="F23" s="11" t="s">
        <v>7</v>
      </c>
      <c r="G23" s="11"/>
      <c r="H23" s="11"/>
      <c r="I23" s="11" t="s">
        <v>32</v>
      </c>
      <c r="J23" s="11" t="s">
        <v>63</v>
      </c>
    </row>
    <row r="24" spans="1:10">
      <c r="A24" s="12">
        <v>46251.65638888889</v>
      </c>
      <c r="B24" s="11">
        <v>46251</v>
      </c>
      <c r="C24" s="11">
        <v>15</v>
      </c>
      <c r="D24" s="11" t="s">
        <v>30</v>
      </c>
      <c r="E24" s="11" t="s">
        <v>34</v>
      </c>
      <c r="F24" s="11" t="s">
        <v>7</v>
      </c>
      <c r="G24" s="11"/>
      <c r="H24" s="11"/>
      <c r="I24" s="11" t="s">
        <v>32</v>
      </c>
      <c r="J24" s="11" t="s">
        <v>47</v>
      </c>
    </row>
    <row r="25" spans="1:10">
      <c r="A25" s="12">
        <v>46251.65638888889</v>
      </c>
      <c r="B25" s="11">
        <v>46251</v>
      </c>
      <c r="C25" s="11">
        <v>15</v>
      </c>
      <c r="D25" s="11" t="s">
        <v>30</v>
      </c>
      <c r="E25" s="11" t="s">
        <v>48</v>
      </c>
      <c r="F25" s="11" t="s">
        <v>7</v>
      </c>
      <c r="G25" s="11" t="s">
        <v>38</v>
      </c>
      <c r="H25" s="11" t="s">
        <v>64</v>
      </c>
      <c r="I25" s="11" t="s">
        <v>39</v>
      </c>
      <c r="J25" s="11" t="s">
        <v>65</v>
      </c>
    </row>
    <row r="26" spans="1:10">
      <c r="A26" s="12">
        <v>46251.65638888889</v>
      </c>
      <c r="B26" s="11">
        <v>46251</v>
      </c>
      <c r="C26" s="11">
        <v>15</v>
      </c>
      <c r="D26" s="11" t="s">
        <v>30</v>
      </c>
      <c r="E26" s="11" t="s">
        <v>34</v>
      </c>
      <c r="F26" s="11" t="s">
        <v>7</v>
      </c>
      <c r="G26" s="11"/>
      <c r="H26" s="11"/>
      <c r="I26" s="11" t="s">
        <v>32</v>
      </c>
      <c r="J26" s="11" t="s">
        <v>66</v>
      </c>
    </row>
  </sheetData>
  <autoFilter ref="A1:J26"/>
  <conditionalFormatting sqref="I2:I26">
    <cfRule type="cellIs" dxfId="0" priority="1" operator="equal">
      <formula>"Success"</formula>
    </cfRule>
    <cfRule type="cellIs" dxfId="1" priority="2" operator="equal">
      <formula>"Warning"</formula>
    </cfRule>
    <cfRule type="cellIs" dxfId="2" priority="3" operator="equal">
      <formula>"Error"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60.7109375" customWidth="1"/>
    <col min="2" max="2" width="20.7109375" customWidth="1"/>
  </cols>
  <sheetData>
    <row r="1" spans="1:2">
      <c r="A1" s="5" t="s">
        <v>67</v>
      </c>
      <c r="B1" s="5" t="s">
        <v>68</v>
      </c>
    </row>
    <row r="2" spans="1:2">
      <c r="A2" s="11" t="s">
        <v>51</v>
      </c>
      <c r="B2" s="11"/>
    </row>
    <row r="3" spans="1:2">
      <c r="A3" s="11" t="s">
        <v>59</v>
      </c>
      <c r="B3" s="11"/>
    </row>
    <row r="4" spans="1:2">
      <c r="A4" s="11" t="s">
        <v>65</v>
      </c>
      <c r="B4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Bot Analysis</vt:lpstr>
      <vt:lpstr>Raw Logs</vt:lpstr>
      <vt:lpstr>Translated Pages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2026-08-17T21:45:12Z</dcterms:created>
  <dcterms:modified xsi:type="dcterms:W3CDTF">2026-08-17T21:45:12Z</dcterms:modified>
</cp:coreProperties>
</file>