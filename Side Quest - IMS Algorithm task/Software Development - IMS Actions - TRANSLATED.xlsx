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4560" yWindow="-1180" windowWidth="29400" windowHeight="17140" tabRatio="600" firstSheet="14" activeTab="14" autoFilterDateGrouping="1"/>
  </bookViews>
  <sheets>
    <sheet xmlns:r="http://schemas.openxmlformats.org/officeDocument/2006/relationships" name="Instructions START HERE" sheetId="1" state="visible" r:id="rId1"/>
    <sheet xmlns:r="http://schemas.openxmlformats.org/officeDocument/2006/relationships" name="CSE110" sheetId="2" state="visible" r:id="rId2"/>
    <sheet xmlns:r="http://schemas.openxmlformats.org/officeDocument/2006/relationships" name="CSEPC110" sheetId="3" state="visible" r:id="rId3"/>
    <sheet xmlns:r="http://schemas.openxmlformats.org/officeDocument/2006/relationships" name="CSEPC110M" sheetId="4" state="visible" r:id="rId4"/>
    <sheet xmlns:r="http://schemas.openxmlformats.org/officeDocument/2006/relationships" name="CSE111" sheetId="5" state="visible" r:id="rId5"/>
    <sheet xmlns:r="http://schemas.openxmlformats.org/officeDocument/2006/relationships" name="CSE210" sheetId="6" state="visible" r:id="rId6"/>
    <sheet xmlns:r="http://schemas.openxmlformats.org/officeDocument/2006/relationships" name="CSE212" sheetId="7" state="visible" r:id="rId7"/>
    <sheet xmlns:r="http://schemas.openxmlformats.org/officeDocument/2006/relationships" name="CSE270" sheetId="8" state="visible" r:id="rId8"/>
    <sheet xmlns:r="http://schemas.openxmlformats.org/officeDocument/2006/relationships" name="CSE300" sheetId="9" state="visible" r:id="rId9"/>
    <sheet xmlns:r="http://schemas.openxmlformats.org/officeDocument/2006/relationships" name="CSE310" sheetId="10" state="visible" r:id="rId10"/>
    <sheet xmlns:r="http://schemas.openxmlformats.org/officeDocument/2006/relationships" name="CSE325" sheetId="11" state="visible" r:id="rId11"/>
    <sheet xmlns:r="http://schemas.openxmlformats.org/officeDocument/2006/relationships" name="CSE340" sheetId="12" state="visible" r:id="rId12"/>
    <sheet xmlns:r="http://schemas.openxmlformats.org/officeDocument/2006/relationships" name="CSE341" sheetId="13" state="visible" r:id="rId13"/>
    <sheet xmlns:r="http://schemas.openxmlformats.org/officeDocument/2006/relationships" name="CSE370" sheetId="14" state="visible" r:id="rId14"/>
    <sheet xmlns:r="http://schemas.openxmlformats.org/officeDocument/2006/relationships" name="CSE499" sheetId="15" state="visible" r:id="rId15"/>
    <sheet xmlns:r="http://schemas.openxmlformats.org/officeDocument/2006/relationships" name="ITM111" sheetId="16" state="visible" r:id="rId16"/>
    <sheet xmlns:r="http://schemas.openxmlformats.org/officeDocument/2006/relationships" name="WDD130" sheetId="17" state="visible" r:id="rId17"/>
    <sheet xmlns:r="http://schemas.openxmlformats.org/officeDocument/2006/relationships" name="WDD131" sheetId="18" state="visible" r:id="rId18"/>
    <sheet xmlns:r="http://schemas.openxmlformats.org/officeDocument/2006/relationships" name="WDD231" sheetId="19" state="visible" r:id="rId19"/>
    <sheet xmlns:r="http://schemas.openxmlformats.org/officeDocument/2006/relationships" name="WDD430" sheetId="20" state="visible" r:id="rId20"/>
    <sheet xmlns:r="http://schemas.openxmlformats.org/officeDocument/2006/relationships" name="WDD330" sheetId="21" state="visible" r:id="rId21"/>
    <sheet xmlns:r="http://schemas.openxmlformats.org/officeDocument/2006/relationships" name="Example 1" sheetId="22" state="visible" r:id="rId22"/>
    <sheet xmlns:r="http://schemas.openxmlformats.org/officeDocument/2006/relationships" name="Example 2" sheetId="23" state="visible" r:id="rId23"/>
    <sheet xmlns:r="http://schemas.openxmlformats.org/officeDocument/2006/relationships" name="Setup" sheetId="24" state="visible" r:id="rId24"/>
    <sheet xmlns:r="http://schemas.openxmlformats.org/officeDocument/2006/relationships" name="Combined" sheetId="25" state="visible" r:id="rId25"/>
  </sheets>
  <definedNames>
    <definedName name="Dates">'CSE110'!$I:$L</definedName>
    <definedName name="DV_B">Setup!$E$2:$E$13</definedName>
    <definedName name="DV_D">Setup!$F$2:$F$9</definedName>
    <definedName name="DV_E">Setup!$G$2:$G$8</definedName>
    <definedName name="_xlnm._FilterDatabase" localSheetId="1" hidden="1">'CSE110'!$A$1:$N$33</definedName>
    <definedName name="Dates" localSheetId="2">CSEPC110!$I:$L</definedName>
    <definedName name="_xlnm._FilterDatabase" localSheetId="2" hidden="1">'CSEPC110'!$A$1:$N$68</definedName>
    <definedName name="Dates" localSheetId="3">CSEPC110M!$J:$M</definedName>
    <definedName name="_xlnm._FilterDatabase" localSheetId="3" hidden="1">'CSEPC110M'!$A$1:$O$70</definedName>
    <definedName name="Dates" localSheetId="4">'CSE111'!$I:$L</definedName>
    <definedName name="_xlnm._FilterDatabase" localSheetId="4" hidden="1">'CSE111'!$A$1:$N$66</definedName>
    <definedName name="Dates" localSheetId="5">'CSE210'!$I:$L</definedName>
    <definedName name="_xlnm._FilterDatabase" localSheetId="5" hidden="1">'CSE210'!$A$1:$N$23</definedName>
    <definedName name="Dates" localSheetId="6">'CSE212'!$I:$L</definedName>
    <definedName name="_xlnm._FilterDatabase" localSheetId="6" hidden="1">'CSE212'!$A$1:$N$32</definedName>
    <definedName name="Dates" localSheetId="7">'CSE270'!$I:$L</definedName>
    <definedName name="_xlnm._FilterDatabase" localSheetId="7" hidden="1">'CSE270'!$A$1:$N$80</definedName>
    <definedName name="Dates" localSheetId="8">'CSE300'!$I:$L</definedName>
    <definedName name="_xlnm._FilterDatabase" localSheetId="8" hidden="1">'CSE300'!$A$1:$N$85</definedName>
    <definedName name="Dates" localSheetId="9">'CSE310'!$H:$K</definedName>
    <definedName name="_xlnm._FilterDatabase" localSheetId="9" hidden="1">'CSE310'!$A$1:$M$75</definedName>
    <definedName name="Dates" localSheetId="10">'CSE325'!$I:$L</definedName>
    <definedName name="_xlnm._FilterDatabase" localSheetId="10" hidden="1">'CSE325'!$A$1:$N$85</definedName>
    <definedName name="Dates" localSheetId="11">'CSE340'!$I:$L</definedName>
    <definedName name="_xlnm._FilterDatabase" localSheetId="11" hidden="1">'CSE340'!$A$1:$N$32</definedName>
    <definedName name="Dates" localSheetId="12">'CSE341'!$I:$L</definedName>
    <definedName name="_xlnm._FilterDatabase" localSheetId="12" hidden="1">'CSE341'!$A$1:$N$27</definedName>
    <definedName name="Dates" localSheetId="13">'CSE370'!$I:$L</definedName>
    <definedName name="_xlnm._FilterDatabase" localSheetId="13" hidden="1">'CSE370'!$A$1:$N$80</definedName>
    <definedName name="Dates" localSheetId="14">'CSE499'!$I:$L</definedName>
    <definedName name="_xlnm._FilterDatabase" localSheetId="14" hidden="1">'CSE499'!$A$1:$N$84</definedName>
    <definedName name="Dates" localSheetId="15">'ITM111'!$I:$L</definedName>
    <definedName name="_xlnm._FilterDatabase" localSheetId="15" hidden="1">'ITM111'!$A$1:$N$32</definedName>
    <definedName name="Dates" localSheetId="16">'WDD130'!$I:$L</definedName>
    <definedName name="_xlnm._FilterDatabase" localSheetId="16" hidden="1">'WDD130'!$A$1:$N$27</definedName>
    <definedName name="Dates" localSheetId="17">'WDD131'!$I:$L</definedName>
    <definedName name="_xlnm._FilterDatabase" localSheetId="17" hidden="1">'WDD131'!$A$1:$N$32</definedName>
    <definedName name="Dates" localSheetId="18">'WDD231'!$I:$L</definedName>
    <definedName name="_xlnm._FilterDatabase" localSheetId="18" hidden="1">'WDD231'!$A$1:$N$20</definedName>
    <definedName name="Dates" localSheetId="19">'WDD430'!$I:$L</definedName>
    <definedName name="_xlnm._FilterDatabase" localSheetId="19" hidden="1">'WDD430'!$A$1:$N$75</definedName>
    <definedName name="Dates" localSheetId="20">'WDD330'!$I:$L</definedName>
    <definedName name="_xlnm._FilterDatabase" localSheetId="20" hidden="1">'WDD330'!$A$1:$N$78</definedName>
  </definedNames>
  <calcPr calcId="191028" fullCalcOnLoad="1"/>
</workbook>
</file>

<file path=xl/styles.xml><?xml version="1.0" encoding="utf-8"?>
<styleSheet xmlns="http://schemas.openxmlformats.org/spreadsheetml/2006/main">
  <numFmts count="1">
    <numFmt numFmtId="164" formatCode="ddd\ m/d/yy\ h:mm;@"/>
  </numFmts>
  <fonts count="31">
    <font>
      <name val="Aptos Narrow"/>
      <family val="2"/>
      <color theme="1"/>
      <sz val="11"/>
      <scheme val="minor"/>
    </font>
    <font>
      <name val="Aptos Narrow"/>
      <color theme="1"/>
      <sz val="11"/>
      <scheme val="minor"/>
    </font>
    <font>
      <name val="Calibri"/>
      <family val="2"/>
      <color rgb="FF000000"/>
      <sz val="11"/>
    </font>
    <font>
      <name val="Arial"/>
      <family val="2"/>
      <color rgb="FF000000"/>
      <sz val="10"/>
    </font>
    <font>
      <name val="Calibri"/>
      <family val="2"/>
      <color rgb="FF0563C1"/>
      <sz val="11"/>
      <u val="single"/>
    </font>
    <font>
      <name val="Aptos Narrow"/>
      <family val="2"/>
      <b val="1"/>
      <color theme="1"/>
      <sz val="11"/>
      <scheme val="minor"/>
    </font>
    <font>
      <name val="Aptos Narrow"/>
      <color rgb="FF000000"/>
      <sz val="11"/>
      <scheme val="minor"/>
    </font>
    <font>
      <name val="Aptos Narrow"/>
      <family val="2"/>
      <color theme="10"/>
      <sz val="11"/>
      <u val="single"/>
      <scheme val="minor"/>
    </font>
    <font>
      <name val="Aptos Narrow"/>
      <family val="2"/>
      <b val="1"/>
      <color theme="1"/>
      <sz val="14"/>
      <scheme val="minor"/>
    </font>
    <font>
      <name val="Aptos Narrow"/>
      <family val="2"/>
      <b val="1"/>
      <color theme="3"/>
      <sz val="14"/>
      <u val="single"/>
      <scheme val="minor"/>
    </font>
    <font>
      <name val="Calibri"/>
      <family val="2"/>
      <b val="1"/>
      <color rgb="FFFF0000"/>
      <sz val="18"/>
    </font>
    <font>
      <name val="Aptos Narrow"/>
      <family val="2"/>
      <color rgb="FF000000"/>
      <sz val="11"/>
      <scheme val="minor"/>
    </font>
    <font>
      <name val="Aptos Narrow"/>
      <family val="2"/>
      <sz val="8"/>
      <scheme val="minor"/>
    </font>
    <font>
      <name val="Lato"/>
      <charset val="1"/>
      <color rgb="FF0070C0"/>
      <sz val="10"/>
    </font>
    <font>
      <name val="Lato"/>
      <charset val="1"/>
      <color rgb="FF000000"/>
      <sz val="10"/>
    </font>
    <font>
      <name val="Lato"/>
      <charset val="1"/>
      <family val="2"/>
      <color rgb="FFFF0000"/>
      <sz val="10"/>
    </font>
    <font>
      <name val="Lato"/>
      <charset val="1"/>
      <family val="2"/>
      <color rgb="FF2D3B45"/>
      <sz val="10"/>
    </font>
    <font>
      <name val="Lato"/>
      <charset val="1"/>
      <family val="2"/>
      <color rgb="FF000000"/>
      <sz val="10"/>
    </font>
    <font>
      <name val="Lato"/>
      <charset val="1"/>
      <color rgb="FF47D45A"/>
      <sz val="10"/>
    </font>
    <font>
      <name val="Lato"/>
      <charset val="1"/>
      <color rgb="FFFF6E1F"/>
      <sz val="10"/>
    </font>
    <font>
      <name val="Lato"/>
      <charset val="1"/>
      <color rgb="FFE97132"/>
      <sz val="10"/>
    </font>
    <font>
      <name val="Aptos Narrow"/>
      <sz val="11"/>
      <scheme val="minor"/>
    </font>
    <font>
      <name val="Aptos Narrow"/>
      <color rgb="FF000000"/>
      <sz val="11"/>
    </font>
    <font>
      <name val="Arial"/>
      <family val="2"/>
      <color theme="1"/>
      <sz val="10"/>
    </font>
    <font>
      <name val="Aptos Narrow"/>
      <family val="2"/>
      <color rgb="FF808080"/>
      <sz val="10"/>
    </font>
    <font>
      <name val="Aptos Narrow"/>
      <family val="2"/>
      <color rgb="FF000000"/>
      <sz val="10"/>
    </font>
    <font>
      <name val="Aptos Narrow"/>
      <family val="2"/>
      <color theme="1"/>
      <sz val="10"/>
      <scheme val="minor"/>
    </font>
    <font>
      <name val="Aptos Narrow"/>
      <family val="2"/>
      <color rgb="FF000000"/>
      <sz val="9"/>
    </font>
    <font>
      <name val="Lato"/>
      <charset val="1"/>
      <family val="2"/>
      <color theme="5"/>
      <sz val="10"/>
    </font>
    <font>
      <name val="Aptos Narrow"/>
      <family val="2"/>
      <strike val="1"/>
      <color theme="1"/>
      <sz val="11"/>
      <scheme val="minor"/>
    </font>
    <font>
      <name val="Aptos Narrow"/>
      <b val="1"/>
      <color theme="1"/>
      <sz val="11"/>
      <scheme val="minor"/>
    </font>
  </fonts>
  <fills count="11">
    <fill>
      <patternFill/>
    </fill>
    <fill>
      <patternFill patternType="gray125"/>
    </fill>
    <fill>
      <patternFill patternType="solid">
        <fgColor rgb="FFE2EFDA"/>
        <bgColor rgb="FF000000"/>
      </patternFill>
    </fill>
    <fill>
      <patternFill patternType="solid">
        <fgColor rgb="FFFFC000"/>
        <bgColor indexed="64"/>
      </patternFill>
    </fill>
    <fill>
      <patternFill patternType="solid">
        <fgColor theme="2"/>
        <bgColor indexed="64"/>
      </patternFill>
    </fill>
    <fill>
      <patternFill patternType="solid">
        <fgColor theme="5" tint="0.3999755851924192"/>
        <bgColor indexed="64"/>
      </patternFill>
    </fill>
    <fill>
      <patternFill patternType="solid">
        <fgColor theme="0"/>
        <bgColor indexed="64"/>
      </patternFill>
    </fill>
    <fill>
      <patternFill patternType="solid">
        <fgColor rgb="FFF2CEEF"/>
        <bgColor rgb="FF000000"/>
      </patternFill>
    </fill>
    <fill>
      <patternFill patternType="solid">
        <fgColor rgb="FFDAF2D0"/>
        <bgColor rgb="FF000000"/>
      </patternFill>
    </fill>
    <fill>
      <patternFill patternType="solid">
        <fgColor rgb="FFCAEDFB"/>
        <bgColor rgb="FF000000"/>
      </patternFill>
    </fill>
    <fill>
      <patternFill patternType="solid">
        <fgColor rgb="FFFFFF00"/>
        <bgColor indexed="64"/>
      </patternFill>
    </fill>
  </fills>
  <borders count="1">
    <border>
      <left/>
      <right/>
      <top/>
      <bottom/>
      <diagonal/>
    </border>
  </borders>
  <cellStyleXfs count="2">
    <xf numFmtId="0" fontId="0" fillId="0" borderId="0"/>
    <xf numFmtId="0" fontId="7" fillId="0" borderId="0"/>
  </cellStyleXfs>
  <cellXfs count="92">
    <xf numFmtId="0" fontId="0" fillId="0" borderId="0" pivotButton="0" quotePrefix="0" xfId="0"/>
    <xf numFmtId="0" fontId="0" fillId="0" borderId="0" applyProtection="1" pivotButton="0" quotePrefix="0" xfId="0">
      <protection locked="0" hidden="0"/>
    </xf>
    <xf numFmtId="10" fontId="0" fillId="0" borderId="0" applyProtection="1" pivotButton="0" quotePrefix="0" xfId="0">
      <protection locked="0" hidden="0"/>
    </xf>
    <xf numFmtId="0" fontId="0" fillId="0" borderId="0" applyAlignment="1" applyProtection="1" pivotButton="0" quotePrefix="0" xfId="0">
      <alignment wrapText="1"/>
      <protection locked="0" hidden="0"/>
    </xf>
    <xf numFmtId="0" fontId="5" fillId="3" borderId="0" applyAlignment="1" applyProtection="1" pivotButton="0" quotePrefix="0" xfId="0">
      <alignment horizontal="center"/>
      <protection locked="0" hidden="0"/>
    </xf>
    <xf numFmtId="0" fontId="5" fillId="3" borderId="0" applyAlignment="1" applyProtection="1" pivotButton="0" quotePrefix="0" xfId="0">
      <alignment horizontal="center" wrapText="1"/>
      <protection locked="0" hidden="0"/>
    </xf>
    <xf numFmtId="164" fontId="0" fillId="4" borderId="0" applyProtection="1" pivotButton="0" quotePrefix="0" xfId="0">
      <protection locked="0" hidden="0"/>
    </xf>
    <xf numFmtId="0" fontId="0" fillId="4" borderId="0" applyProtection="1" pivotButton="0" quotePrefix="0" xfId="0">
      <protection locked="0" hidden="0"/>
    </xf>
    <xf numFmtId="0" fontId="6" fillId="0" borderId="0" applyProtection="1" pivotButton="0" quotePrefix="0" xfId="0">
      <protection locked="0" hidden="0"/>
    </xf>
    <xf numFmtId="0" fontId="6" fillId="0" borderId="0" applyAlignment="1" applyProtection="1" pivotButton="0" quotePrefix="0" xfId="0">
      <alignment wrapText="1"/>
      <protection locked="0" hidden="0"/>
    </xf>
    <xf numFmtId="0" fontId="5" fillId="3" borderId="0" applyAlignment="1" applyProtection="1" pivotButton="0" quotePrefix="0" xfId="0">
      <alignment horizontal="center" vertical="top"/>
      <protection locked="0" hidden="0"/>
    </xf>
    <xf numFmtId="0" fontId="5" fillId="3" borderId="0" applyAlignment="1" applyProtection="1" pivotButton="0" quotePrefix="0" xfId="0">
      <alignment horizontal="center" vertical="top" wrapText="1"/>
      <protection locked="0" hidden="0"/>
    </xf>
    <xf numFmtId="0" fontId="0" fillId="0" borderId="0" applyAlignment="1" applyProtection="1" pivotButton="0" quotePrefix="0" xfId="0">
      <alignment vertical="top"/>
      <protection locked="0" hidden="0"/>
    </xf>
    <xf numFmtId="0" fontId="2" fillId="0" borderId="0" applyAlignment="1" applyProtection="1" pivotButton="0" quotePrefix="0" xfId="0">
      <alignment vertical="top"/>
      <protection locked="0" hidden="0"/>
    </xf>
    <xf numFmtId="164" fontId="0" fillId="4" borderId="0" applyAlignment="1" applyProtection="1" pivotButton="0" quotePrefix="0" xfId="0">
      <alignment vertical="top"/>
      <protection locked="0" hidden="0"/>
    </xf>
    <xf numFmtId="0" fontId="0" fillId="4"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5" fillId="3" borderId="0" applyAlignment="1" applyProtection="1" pivotButton="0" quotePrefix="0" xfId="0">
      <alignment horizontal="left" vertical="top" wrapText="1"/>
      <protection locked="0" hidden="0"/>
    </xf>
    <xf numFmtId="0" fontId="5" fillId="3" borderId="0" applyAlignment="1" applyProtection="1" pivotButton="0" quotePrefix="0" xfId="0">
      <alignment horizontal="left" vertical="top"/>
      <protection locked="0" hidden="0"/>
    </xf>
    <xf numFmtId="0" fontId="0" fillId="0" borderId="0" applyAlignment="1" applyProtection="1" pivotButton="0" quotePrefix="0" xfId="0">
      <alignment horizontal="center" vertical="top"/>
      <protection locked="0" hidden="0"/>
    </xf>
    <xf numFmtId="10" fontId="0" fillId="0" borderId="0" applyAlignment="1" applyProtection="1" pivotButton="0" quotePrefix="0" xfId="0">
      <alignment horizontal="center" vertical="top"/>
      <protection locked="0" hidden="0"/>
    </xf>
    <xf numFmtId="0" fontId="2" fillId="0" borderId="0" applyAlignment="1" applyProtection="1" pivotButton="0" quotePrefix="0" xfId="0">
      <alignment horizontal="center" vertical="top"/>
      <protection locked="0" hidden="0"/>
    </xf>
    <xf numFmtId="0" fontId="0" fillId="0" borderId="0" applyAlignment="1" applyProtection="1" pivotButton="0" quotePrefix="0" xfId="0">
      <alignment horizontal="center"/>
      <protection locked="0" hidden="0"/>
    </xf>
    <xf numFmtId="10" fontId="0" fillId="0" borderId="0" applyAlignment="1" applyProtection="1" pivotButton="0" quotePrefix="0" xfId="0">
      <alignment horizontal="center"/>
      <protection locked="0" hidden="0"/>
    </xf>
    <xf numFmtId="0" fontId="5" fillId="3" borderId="0" applyAlignment="1" applyProtection="1" pivotButton="0" quotePrefix="0" xfId="0">
      <alignment horizontal="left" wrapText="1"/>
      <protection locked="0" hidden="0"/>
    </xf>
    <xf numFmtId="164" fontId="0" fillId="0" borderId="0" applyAlignment="1" applyProtection="1" pivotButton="0" quotePrefix="0" xfId="0">
      <alignment horizontal="center"/>
      <protection locked="0" hidden="0"/>
    </xf>
    <xf numFmtId="0" fontId="1" fillId="0" borderId="0" applyProtection="1" pivotButton="0" quotePrefix="0" xfId="0">
      <protection locked="0" hidden="0"/>
    </xf>
    <xf numFmtId="0" fontId="5" fillId="3" borderId="0" applyAlignment="1" applyProtection="1" pivotButton="0" quotePrefix="0" xfId="0">
      <alignment horizontal="left"/>
      <protection locked="0" hidden="0"/>
    </xf>
    <xf numFmtId="0" fontId="0" fillId="0" borderId="0" applyAlignment="1" applyProtection="1" pivotButton="0" quotePrefix="0" xfId="0">
      <alignment horizontal="left"/>
      <protection locked="0" hidden="0"/>
    </xf>
    <xf numFmtId="9" fontId="0" fillId="0" borderId="0" applyAlignment="1" applyProtection="1" pivotButton="0" quotePrefix="0" xfId="0">
      <alignment horizontal="center"/>
      <protection locked="0" hidden="0"/>
    </xf>
    <xf numFmtId="0" fontId="15" fillId="0" borderId="0" applyProtection="1" pivotButton="0" quotePrefix="0" xfId="0">
      <protection locked="0" hidden="0"/>
    </xf>
    <xf numFmtId="0" fontId="17" fillId="0" borderId="0" applyProtection="1" pivotButton="0" quotePrefix="0" xfId="0">
      <protection locked="0" hidden="0"/>
    </xf>
    <xf numFmtId="0" fontId="14" fillId="0" borderId="0" applyProtection="1" pivotButton="0" quotePrefix="0" xfId="0">
      <protection locked="0" hidden="0"/>
    </xf>
    <xf numFmtId="0" fontId="18" fillId="0" borderId="0" applyProtection="1" pivotButton="0" quotePrefix="0" xfId="0">
      <protection locked="0" hidden="0"/>
    </xf>
    <xf numFmtId="0" fontId="19" fillId="0" borderId="0" applyProtection="1" pivotButton="0" quotePrefix="0" xfId="0">
      <protection locked="0" hidden="0"/>
    </xf>
    <xf numFmtId="0" fontId="13" fillId="0" borderId="0" applyProtection="1" pivotButton="0" quotePrefix="0" xfId="0">
      <protection locked="0" hidden="0"/>
    </xf>
    <xf numFmtId="0" fontId="21" fillId="0" borderId="0" applyProtection="1" pivotButton="0" quotePrefix="0" xfId="0">
      <protection locked="0" hidden="0"/>
    </xf>
    <xf numFmtId="0" fontId="21" fillId="0" borderId="0" applyAlignment="1" applyProtection="1" pivotButton="0" quotePrefix="0" xfId="0">
      <alignment horizontal="center"/>
      <protection locked="0" hidden="0"/>
    </xf>
    <xf numFmtId="10" fontId="21" fillId="0" borderId="0" applyAlignment="1" applyProtection="1" pivotButton="0" quotePrefix="0" xfId="0">
      <alignment horizontal="center"/>
      <protection locked="0" hidden="0"/>
    </xf>
    <xf numFmtId="164" fontId="21" fillId="0" borderId="0" applyAlignment="1" applyProtection="1" pivotButton="0" quotePrefix="0" xfId="0">
      <alignment horizontal="center"/>
      <protection locked="0" hidden="0"/>
    </xf>
    <xf numFmtId="0" fontId="21" fillId="0" borderId="0" applyAlignment="1" applyProtection="1" pivotButton="0" quotePrefix="0" xfId="0">
      <alignment horizontal="left"/>
      <protection locked="0" hidden="0"/>
    </xf>
    <xf numFmtId="0" fontId="21" fillId="0" borderId="0" applyAlignment="1" applyProtection="1" pivotButton="0" quotePrefix="0" xfId="0">
      <alignment wrapText="1"/>
      <protection locked="0" hidden="0"/>
    </xf>
    <xf numFmtId="0" fontId="2" fillId="0" borderId="0" applyProtection="1" pivotButton="0" quotePrefix="0" xfId="0">
      <protection locked="0" hidden="0"/>
    </xf>
    <xf numFmtId="0" fontId="22" fillId="0" borderId="0" applyProtection="1" pivotButton="0" quotePrefix="0" xfId="0">
      <protection locked="0" hidden="0"/>
    </xf>
    <xf numFmtId="0" fontId="23" fillId="0" borderId="0" applyProtection="1" pivotButton="0" quotePrefix="0" xfId="0">
      <protection locked="0" hidden="0"/>
    </xf>
    <xf numFmtId="0" fontId="0" fillId="6" borderId="0" applyProtection="1" pivotButton="0" quotePrefix="0" xfId="0">
      <protection locked="0" hidden="0"/>
    </xf>
    <xf numFmtId="0" fontId="11" fillId="0" borderId="0" applyProtection="1" pivotButton="0" quotePrefix="0" xfId="0">
      <protection locked="0" hidden="0"/>
    </xf>
    <xf numFmtId="0" fontId="24" fillId="0" borderId="0" applyProtection="1" pivotButton="0" quotePrefix="0" xfId="0">
      <protection locked="0" hidden="0"/>
    </xf>
    <xf numFmtId="0" fontId="25" fillId="7" borderId="0" applyProtection="1" pivotButton="0" quotePrefix="0" xfId="0">
      <protection locked="0" hidden="0"/>
    </xf>
    <xf numFmtId="10" fontId="26" fillId="0" borderId="0" applyProtection="1" pivotButton="0" quotePrefix="0" xfId="0">
      <protection locked="0" hidden="0"/>
    </xf>
    <xf numFmtId="164" fontId="26" fillId="0" borderId="0" applyAlignment="1" applyProtection="1" pivotButton="0" quotePrefix="0" xfId="0">
      <alignment horizontal="center"/>
      <protection locked="0" hidden="0"/>
    </xf>
    <xf numFmtId="0" fontId="26" fillId="0" borderId="0" applyAlignment="1" applyProtection="1" pivotButton="0" quotePrefix="0" xfId="0">
      <alignment horizontal="center"/>
      <protection locked="0" hidden="0"/>
    </xf>
    <xf numFmtId="0" fontId="25" fillId="7" borderId="0" applyAlignment="1" applyProtection="1" pivotButton="0" quotePrefix="0" xfId="0">
      <alignment wrapText="1"/>
      <protection locked="0" hidden="0"/>
    </xf>
    <xf numFmtId="0" fontId="25" fillId="8" borderId="0" applyProtection="1" pivotButton="0" quotePrefix="0" xfId="0">
      <protection locked="0" hidden="0"/>
    </xf>
    <xf numFmtId="0" fontId="25" fillId="8" borderId="0" applyAlignment="1" applyProtection="1" pivotButton="0" quotePrefix="0" xfId="0">
      <alignment wrapText="1"/>
      <protection locked="0" hidden="0"/>
    </xf>
    <xf numFmtId="0" fontId="25" fillId="9" borderId="0" applyProtection="1" pivotButton="0" quotePrefix="0" xfId="0">
      <protection locked="0" hidden="0"/>
    </xf>
    <xf numFmtId="0" fontId="25" fillId="9" borderId="0" applyAlignment="1" applyProtection="1" pivotButton="0" quotePrefix="0" xfId="0">
      <alignment wrapText="1"/>
      <protection locked="0" hidden="0"/>
    </xf>
    <xf numFmtId="10" fontId="25" fillId="9" borderId="0" applyProtection="1" pivotButton="0" quotePrefix="0" xfId="0">
      <protection locked="0" hidden="0"/>
    </xf>
    <xf numFmtId="10" fontId="25" fillId="8" borderId="0" applyProtection="1" pivotButton="0" quotePrefix="0" xfId="0">
      <protection locked="0" hidden="0"/>
    </xf>
    <xf numFmtId="0" fontId="25" fillId="0" borderId="0" applyProtection="1" pivotButton="0" quotePrefix="0" xfId="0">
      <protection locked="0" hidden="0"/>
    </xf>
    <xf numFmtId="0" fontId="27" fillId="8" borderId="0" applyAlignment="1" applyProtection="1" pivotButton="0" quotePrefix="0" xfId="0">
      <alignment wrapText="1"/>
      <protection locked="0" hidden="0"/>
    </xf>
    <xf numFmtId="0" fontId="27" fillId="7" borderId="0" applyProtection="1" pivotButton="0" quotePrefix="0" xfId="0">
      <protection locked="0" hidden="0"/>
    </xf>
    <xf numFmtId="0" fontId="27" fillId="9" borderId="0" applyAlignment="1" applyProtection="1" pivotButton="0" quotePrefix="0" xfId="0">
      <alignment wrapText="1"/>
      <protection locked="0" hidden="0"/>
    </xf>
    <xf numFmtId="0" fontId="0" fillId="10" borderId="0" applyProtection="1" pivotButton="0" quotePrefix="0" xfId="0">
      <protection locked="0" hidden="0"/>
    </xf>
    <xf numFmtId="0" fontId="16" fillId="0" borderId="0" applyProtection="1" pivotButton="0" quotePrefix="0" xfId="0">
      <protection locked="0" hidden="0"/>
    </xf>
    <xf numFmtId="0" fontId="20" fillId="0" borderId="0" applyProtection="1" pivotButton="0" quotePrefix="0" xfId="0">
      <protection locked="0" hidden="0"/>
    </xf>
    <xf numFmtId="0" fontId="28" fillId="0" borderId="0" applyProtection="1" pivotButton="0" quotePrefix="0" xfId="0">
      <protection locked="0" hidden="0"/>
    </xf>
    <xf numFmtId="0" fontId="22" fillId="0" borderId="0" applyAlignment="1" applyProtection="1" pivotButton="0" quotePrefix="0" xfId="0">
      <alignment wrapText="1"/>
      <protection locked="0" hidden="0"/>
    </xf>
    <xf numFmtId="0" fontId="3" fillId="0" borderId="0" applyProtection="1" pivotButton="0" quotePrefix="0" xfId="0">
      <protection locked="0" hidden="0"/>
    </xf>
    <xf numFmtId="0" fontId="9" fillId="3" borderId="0" applyProtection="1" pivotButton="0" quotePrefix="0" xfId="1">
      <protection locked="0" hidden="0"/>
    </xf>
    <xf numFmtId="0" fontId="9" fillId="0" borderId="0" applyProtection="1" pivotButton="0" quotePrefix="0" xfId="1">
      <protection locked="0" hidden="0"/>
    </xf>
    <xf numFmtId="0" fontId="8" fillId="5" borderId="0" applyAlignment="1" applyProtection="1" pivotButton="0" quotePrefix="0" xfId="0">
      <alignment horizontal="center"/>
      <protection locked="0" hidden="0"/>
    </xf>
    <xf numFmtId="0" fontId="10" fillId="0" borderId="0" applyProtection="1" pivotButton="0" quotePrefix="0" xfId="0">
      <protection locked="0" hidden="0"/>
    </xf>
    <xf numFmtId="0" fontId="2" fillId="0" borderId="0" applyAlignment="1" applyProtection="1" pivotButton="0" quotePrefix="0" xfId="0">
      <alignment wrapText="1"/>
      <protection locked="0" hidden="0"/>
    </xf>
    <xf numFmtId="22" fontId="2" fillId="2" borderId="0" applyAlignment="1" applyProtection="1" pivotButton="0" quotePrefix="0" xfId="0">
      <alignment wrapText="1"/>
      <protection locked="0" hidden="0"/>
    </xf>
    <xf numFmtId="0" fontId="3" fillId="0" borderId="0" applyAlignment="1" applyProtection="1" pivotButton="0" quotePrefix="1" xfId="0">
      <alignment wrapText="1"/>
      <protection locked="0" hidden="0"/>
    </xf>
    <xf numFmtId="0" fontId="3" fillId="0" borderId="0" applyAlignment="1" applyProtection="1" pivotButton="0" quotePrefix="0" xfId="0">
      <alignment wrapText="1"/>
      <protection locked="0" hidden="0"/>
    </xf>
    <xf numFmtId="0" fontId="4" fillId="0" borderId="0" applyAlignment="1" applyProtection="1" pivotButton="0" quotePrefix="0" xfId="0">
      <alignment wrapText="1"/>
      <protection locked="0" hidden="0"/>
    </xf>
    <xf numFmtId="0" fontId="29" fillId="10" borderId="0" applyProtection="1" pivotButton="0" quotePrefix="0" xfId="0">
      <protection locked="0" hidden="0"/>
    </xf>
    <xf numFmtId="0" fontId="30" fillId="3" borderId="0" applyAlignment="1" applyProtection="1" pivotButton="0" quotePrefix="0" xfId="0">
      <alignment horizontal="center"/>
      <protection locked="0" hidden="0"/>
    </xf>
    <xf numFmtId="0" fontId="30" fillId="3" borderId="0" applyAlignment="1" applyProtection="1" pivotButton="0" quotePrefix="0" xfId="0">
      <alignment horizontal="center" wrapText="1"/>
      <protection locked="0" hidden="0"/>
    </xf>
    <xf numFmtId="0" fontId="30" fillId="3" borderId="0" applyAlignment="1" applyProtection="1" pivotButton="0" quotePrefix="0" xfId="0">
      <alignment horizontal="left" wrapText="1"/>
      <protection locked="0" hidden="0"/>
    </xf>
    <xf numFmtId="0" fontId="1" fillId="0" borderId="0" applyAlignment="1" applyProtection="1" pivotButton="0" quotePrefix="0" xfId="0">
      <alignment horizontal="center"/>
      <protection locked="0" hidden="0"/>
    </xf>
    <xf numFmtId="164" fontId="1" fillId="0" borderId="0" applyAlignment="1" applyProtection="1" pivotButton="0" quotePrefix="0" xfId="0">
      <alignment horizontal="center"/>
      <protection locked="0" hidden="0"/>
    </xf>
    <xf numFmtId="0" fontId="1" fillId="0" borderId="0" applyAlignment="1" applyProtection="1" pivotButton="0" quotePrefix="0" xfId="0">
      <alignment wrapText="1"/>
      <protection locked="0" hidden="0"/>
    </xf>
    <xf numFmtId="10" fontId="1" fillId="0" borderId="0" applyAlignment="1" applyProtection="1" pivotButton="0" quotePrefix="0" xfId="0">
      <alignment horizontal="center"/>
      <protection locked="0" hidden="0"/>
    </xf>
    <xf numFmtId="14" fontId="0" fillId="0" borderId="0" pivotButton="0" quotePrefix="0" xfId="0"/>
    <xf numFmtId="22" fontId="0" fillId="0" borderId="0" pivotButton="0" quotePrefix="0" xfId="0"/>
    <xf numFmtId="0" fontId="0" fillId="0" borderId="0" applyAlignment="1" pivotButton="0" quotePrefix="0" xfId="0">
      <alignment wrapText="1"/>
    </xf>
    <xf numFmtId="0" fontId="27" fillId="0" borderId="0" applyAlignment="1" applyProtection="1" pivotButton="0" quotePrefix="0" xfId="0">
      <alignment wrapText="1"/>
      <protection locked="0" hidden="0"/>
    </xf>
    <xf numFmtId="0" fontId="25" fillId="0" borderId="0" applyAlignment="1" applyProtection="1" pivotButton="0" quotePrefix="0" xfId="0">
      <alignment wrapText="1"/>
      <protection locked="0" hidden="0"/>
    </xf>
  </cellXfs>
  <cellStyles count="2">
    <cellStyle name="Normal" xfId="0" builtinId="0"/>
    <cellStyle name="Hyperlink" xfId="1" builtinId="8"/>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editAs="oneCell">
    <from>
      <col>0</col>
      <colOff>0</colOff>
      <row>3</row>
      <rowOff>1</rowOff>
    </from>
    <to>
      <col>0</col>
      <colOff>5335674</colOff>
      <row>29</row>
      <rowOff>104775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619126"/>
          <a:ext cx="5335674" cy="5057774"/>
        </a:xfrm>
        <a:prstGeom xmlns:a="http://schemas.openxmlformats.org/drawingml/2006/main" prst="rect">
          <avLst/>
        </a:prstGeom>
        <a:ln xmlns:a="http://schemas.openxmlformats.org/drawingml/2006/main">
          <a:prstDash val="solid"/>
        </a:ln>
      </spPr>
    </pic>
    <clientData/>
  </twoCellAnchor>
  <twoCellAnchor editAs="oneCell">
    <from>
      <col>2</col>
      <colOff>0</colOff>
      <row>3</row>
      <rowOff>0</rowOff>
    </from>
    <to>
      <col>2</col>
      <colOff>5848350</colOff>
      <row>30</row>
      <rowOff>9525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343525" y="619125"/>
          <a:ext cx="5848350" cy="5153025"/>
        </a:xfrm>
        <a:prstGeom xmlns:a="http://schemas.openxmlformats.org/drawingml/2006/main" prst="rect">
          <avLst/>
        </a:prstGeom>
        <a:ln xmlns:a="http://schemas.openxmlformats.org/drawingml/2006/main">
          <a:prstDash val="solid"/>
        </a:ln>
      </spPr>
    </pic>
    <clientData/>
  </twoCellAnchor>
  <twoCellAnchor editAs="oneCell">
    <from>
      <col>1</col>
      <colOff>1352550</colOff>
      <row>29</row>
      <rowOff>152400</rowOff>
    </from>
    <to>
      <col>2</col>
      <colOff>5838825</colOff>
      <row>44</row>
      <rowOff>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696075" y="5724525"/>
          <a:ext cx="5962650" cy="2705100"/>
        </a:xfrm>
        <a:prstGeom xmlns:a="http://schemas.openxmlformats.org/drawingml/2006/main" prst="rect">
          <avLst/>
        </a:prstGeom>
        <a:ln xmlns:a="http://schemas.openxmlformats.org/drawingml/2006/main">
          <a:prstDash val="solid"/>
        </a:ln>
      </spPr>
    </pic>
    <clientData/>
  </twoCellAnchor>
  <twoCellAnchor editAs="oneCell">
    <from>
      <col>1</col>
      <colOff>1371600</colOff>
      <row>44</row>
      <rowOff>0</rowOff>
    </from>
    <to>
      <col>2</col>
      <colOff>5638800</colOff>
      <row>75</row>
      <rowOff>47625</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715125" y="8429625"/>
          <a:ext cx="5743575" cy="59531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ocs.google.com/document/d/1-EwJARt0WpSe99FJvWY5HXI-8vVGT556aLwXmoj2avw/edit?usp=sharing"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codeName="Sheet1">
    <tabColor rgb="FFFFC000"/>
    <outlinePr summaryBelow="1" summaryRight="1"/>
    <pageSetUpPr/>
  </sheetPr>
  <dimension ref="A2:C2"/>
  <sheetViews>
    <sheetView topLeftCell="A2" workbookViewId="0">
      <selection activeCell="A2" sqref="A2"/>
    </sheetView>
  </sheetViews>
  <sheetFormatPr baseColWidth="8" defaultColWidth="8.85546875" defaultRowHeight="15"/>
  <cols>
    <col width="80.140625" customWidth="1" style="1" min="1" max="1"/>
    <col width="22.140625" customWidth="1" style="1" min="2" max="2"/>
    <col width="89" customWidth="1" style="1" min="3" max="3"/>
    <col width="8.85546875" customWidth="1" style="1" min="4" max="16384"/>
  </cols>
  <sheetData>
    <row r="2" ht="18.95" customHeight="1">
      <c r="A2" s="70" t="inlineStr">
        <is>
          <t>.</t>
        </is>
      </c>
      <c r="B2" s="71" t="n"/>
      <c r="C2" s="72" t="inlineStr">
        <is>
          <t>Preparing for the IMS</t>
        </is>
      </c>
    </row>
  </sheetData>
  <sheetProtection selectLockedCells="0" selectUnlockedCells="0" algorithmName="SHA-512" sheet="1" objects="0" insertRows="0" insertHyperlinks="1" autoFilter="0" scenarios="0" formatColumns="1" deleteColumns="1" insertColumns="1" pivotTables="1" deleteRows="0" formatCells="0" saltValue="P2D5ht3WadYnxoGSi2fpWw==" formatRows="0" sort="0" spinCount="100000" hashValue="i+Cnif58KDnrT+vuvr5/WF5HCGcm5JtN140CzzPTuqMDDG3qOPufWuMlXfaEhMTd9yJ/SyOW2HtTrxqoCQdm/Q=="/>
  <hyperlinks>
    <hyperlink xmlns:r="http://schemas.openxmlformats.org/officeDocument/2006/relationships" ref="A2" r:id="rId1"/>
  </hyperlinks>
  <pageMargins left="0.7" right="0.7" top="0.75" bottom="0.75" header="0.3" footer="0.3"/>
  <drawing xmlns:r="http://schemas.openxmlformats.org/officeDocument/2006/relationships" r:id="rId2"/>
</worksheet>
</file>

<file path=xl/worksheets/sheet2.xml><?xml version="1.0" encoding="utf-8"?>
<worksheet xmlns="http://schemas.openxmlformats.org/spreadsheetml/2006/main">
  <sheetPr codeName="Sheet2">
    <tabColor rgb="FF00B050"/>
    <outlinePr summaryBelow="1" summaryRight="1"/>
    <pageSetUpPr/>
  </sheetPr>
  <dimension ref="A1:N33"/>
  <sheetViews>
    <sheetView workbookViewId="0">
      <pane xSplit="3" topLeftCell="D1" activePane="topRight" state="frozen"/>
      <selection pane="topRight" activeCell="M6" sqref="M6:N6"/>
      <selection activeCell="D12" sqref="D12"/>
    </sheetView>
  </sheetViews>
  <sheetFormatPr baseColWidth="8" defaultColWidth="8.85546875" defaultRowHeight="15"/>
  <cols>
    <col width="13" customWidth="1" style="1" min="1" max="1"/>
    <col width="24.28515625" customWidth="1" style="1" min="2" max="2"/>
    <col width="65.7109375" bestFit="1" customWidth="1" style="1" min="3" max="3"/>
    <col width="14.42578125" customWidth="1" style="23" min="4" max="4"/>
    <col width="14" customWidth="1" style="23" min="5" max="6"/>
    <col width="14.140625" customWidth="1" style="23" min="7" max="7"/>
    <col hidden="1" width="15.28515625" customWidth="1" style="23" min="8" max="8"/>
    <col hidden="1" width="22" customWidth="1" style="23" min="9" max="9"/>
    <col hidden="1" width="15.28515625" customWidth="1" style="23" min="10" max="10"/>
    <col hidden="1" width="17.7109375" customWidth="1" style="23" min="11" max="11"/>
    <col hidden="1" width="15.2851562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ustomFormat="1" s="37">
      <c r="A2" s="37" t="inlineStr">
        <is>
          <t>CSE110</t>
        </is>
      </c>
      <c r="B2" s="37" t="inlineStr">
        <is>
          <t>New Student Added</t>
        </is>
      </c>
      <c r="C2" s="37" t="inlineStr">
        <is>
          <t>Novo Estudante Adicionado</t>
        </is>
      </c>
      <c r="D2" s="38" t="n">
        <v>0</v>
      </c>
      <c r="E2" s="38" t="n">
        <v>2</v>
      </c>
      <c r="F2" s="38" t="n"/>
      <c r="G2" s="39" t="n"/>
      <c r="H2" s="38" t="inlineStr">
        <is>
          <t>y</t>
        </is>
      </c>
      <c r="I2" s="40">
        <f>DATE(YEAR(Setup!$C$4),MONTH(Setup!$C$4),DAY(Setup!$C$4)+((D2-1)*7)+(E2-WEEKDAY(DATE(YEAR(Setup!$C$4),MONTH(Setup!$C$4),DAY(Setup!$C$4)),1)))</f>
        <v/>
      </c>
      <c r="J2" s="40">
        <f>I2+3</f>
        <v/>
      </c>
      <c r="K2" s="40">
        <f>(I2 + (7 - WEEKDAY(I2,1))) + 1</f>
        <v/>
      </c>
      <c r="L2" s="38" t="n"/>
      <c r="M2" s="41" t="inlineStr">
        <is>
          <t>Novo Aluno Adicionado</t>
        </is>
      </c>
      <c r="N2" s="37" t="inlineStr">
        <is>
          <t>Envie uma mensagem para os novos alunos para dar as boas-vindas à aula e ajudá-los a enviar as tarefas que perderam.</t>
        </is>
      </c>
    </row>
    <row r="3" customFormat="1" s="37">
      <c r="A3" s="1" t="inlineStr">
        <is>
          <t>CSE110</t>
        </is>
      </c>
      <c r="B3" s="1" t="inlineStr">
        <is>
          <t>Quiz Question</t>
        </is>
      </c>
      <c r="C3" s="1" t="inlineStr">
        <is>
          <t>S01 - Questionário: Expectativas do Curso: Pergunta: Laptop 1 Resposta: Não</t>
        </is>
      </c>
      <c r="D3" s="23" t="n">
        <v>1</v>
      </c>
      <c r="E3" s="23" t="n">
        <v>2</v>
      </c>
      <c r="F3" s="23" t="n"/>
      <c r="G3" s="23" t="n"/>
      <c r="H3" s="23" t="inlineStr">
        <is>
          <t>y</t>
        </is>
      </c>
      <c r="I3" s="40">
        <f>DATE(YEAR(Setup!$C$4),MONTH(Setup!$C$4),DAY(Setup!$C$4)+((D3-1)*7)+(E3-WEEKDAY(DATE(YEAR(Setup!$C$4),MONTH(Setup!$C$4),DAY(Setup!$C$4)),1)))</f>
        <v/>
      </c>
      <c r="J3" s="40">
        <f>I3+3</f>
        <v/>
      </c>
      <c r="K3" s="40">
        <f>(I3 + (7 - WEEKDAY(I3,1))) + 1</f>
        <v/>
      </c>
      <c r="L3" s="23" t="n">
        <v>0</v>
      </c>
      <c r="M3" s="1" t="inlineStr">
        <is>
          <t>Sem acesso a um computador</t>
        </is>
      </c>
      <c r="N3" s="1" t="inlineStr">
        <is>
          <t>Envie uma mensagem a cada aluno informando que eles não conseguirão ter sucesso neste curso sem um computador. Sugira que tranquem o curso e o façam quando tiverem acesso a um computador. (Consulte as Notas de Ensino para obter informações adicionais)</t>
        </is>
      </c>
    </row>
    <row r="4" customFormat="1" s="37">
      <c r="A4" s="37" t="inlineStr">
        <is>
          <t>CSE110</t>
        </is>
      </c>
      <c r="B4" s="37" t="inlineStr">
        <is>
          <t>Scheduled - Not Logged In</t>
        </is>
      </c>
      <c r="C4" s="37" t="inlineStr">
        <is>
          <t>Não entrou no Canvas</t>
        </is>
      </c>
      <c r="D4" s="38" t="n">
        <v>1</v>
      </c>
      <c r="E4" s="38" t="n">
        <v>4</v>
      </c>
      <c r="F4" s="38" t="n"/>
      <c r="G4" s="39" t="n"/>
      <c r="H4" s="38" t="inlineStr">
        <is>
          <t>y</t>
        </is>
      </c>
      <c r="I4" s="40">
        <f>DATE(YEAR(Setup!$C$4),MONTH(Setup!$C$4),DAY(Setup!$C$4)+((D4-1)*7)+(E4-WEEKDAY(DATE(YEAR(Setup!$C$4),MONTH(Setup!$C$4),DAY(Setup!$C$4)),1)))</f>
        <v/>
      </c>
      <c r="J4" s="40">
        <f>I4+3</f>
        <v/>
      </c>
      <c r="K4" s="40">
        <f>(I4 + (7 - WEEKDAY(I4,1))) + 1</f>
        <v/>
      </c>
      <c r="L4" s="38" t="n"/>
      <c r="M4" s="41" t="inlineStr">
        <is>
          <t>Não acessou o Canvas</t>
        </is>
      </c>
      <c r="N4" s="37" t="inlineStr">
        <is>
          <t>Envie uma mensagem (fora do Canvas) para os estudantes que não fizeram login no Canvas, incentivando-os a fazer login antes da segunda-feira da Semana 2.</t>
        </is>
      </c>
    </row>
    <row r="5" customFormat="1" s="37">
      <c r="A5" s="37" t="inlineStr">
        <is>
          <t>CSE110</t>
        </is>
      </c>
      <c r="B5" s="37" t="inlineStr">
        <is>
          <t>Missing Assignment</t>
        </is>
      </c>
      <c r="C5" s="37" t="inlineStr">
        <is>
          <t>S01 - Projeto: Histórias Inteligentes</t>
        </is>
      </c>
      <c r="D5" s="38" t="n">
        <v>2</v>
      </c>
      <c r="E5" s="38" t="n">
        <v>1</v>
      </c>
      <c r="F5" s="38" t="n"/>
      <c r="G5" s="39" t="n"/>
      <c r="H5" s="38" t="inlineStr">
        <is>
          <t>y</t>
        </is>
      </c>
      <c r="I5" s="40">
        <f>DATE(YEAR(Setup!$C$4),MONTH(Setup!$C$4),DAY(Setup!$C$4)+((D5-1)*7)+(E5-WEEKDAY(DATE(YEAR(Setup!$C$4),MONTH(Setup!$C$4),DAY(Setup!$C$4)),1)))</f>
        <v/>
      </c>
      <c r="J5" s="40">
        <f>I5+3</f>
        <v/>
      </c>
      <c r="K5" s="40">
        <f>(I5 + (7 - WEEKDAY(I5,1))) + 1</f>
        <v/>
      </c>
      <c r="L5" s="38" t="n"/>
      <c r="M5" s="41" t="inlineStr">
        <is>
          <t>Pendente: Projeto W01: Clever Stories</t>
        </is>
      </c>
      <c r="N5" s="37" t="inlineStr">
        <is>
          <t>Projeto da W01 Pendente: Clever Stories. Envie uma mensagem para entrar em contato com este aluno e incentivar o envio pontual da tarefa pendente</t>
        </is>
      </c>
    </row>
    <row r="6" customFormat="1" s="37">
      <c r="A6" s="37" t="inlineStr">
        <is>
          <t>CSE110</t>
        </is>
      </c>
      <c r="B6" s="1" t="inlineStr">
        <is>
          <t>Quiz Question</t>
        </is>
      </c>
      <c r="C6" s="1" t="inlineStr">
        <is>
          <t>S01 - Reflexão: NeedHelp Resposta: Sim</t>
        </is>
      </c>
      <c r="D6" s="23" t="n">
        <v>2</v>
      </c>
      <c r="E6" s="23" t="n">
        <v>2</v>
      </c>
      <c r="F6" s="23" t="n"/>
      <c r="G6" s="23" t="n"/>
      <c r="H6" s="23" t="inlineStr">
        <is>
          <t>y</t>
        </is>
      </c>
      <c r="I6" s="40">
        <f>DATE(YEAR(Setup!$C$4),MONTH(Setup!$C$4),DAY(Setup!$C$4)+((D6-1)*7)+(E6-WEEKDAY(DATE(YEAR(Setup!$C$4),MONTH(Setup!$C$4),DAY(Setup!$C$4)),1)))</f>
        <v/>
      </c>
      <c r="J6" s="40">
        <f>I6+3</f>
        <v/>
      </c>
      <c r="K6" s="40">
        <f>(I6 + (7 - WEEKDAY(I6,1))) + 1</f>
        <v/>
      </c>
      <c r="L6" s="23" t="n">
        <v>0</v>
      </c>
      <c r="M6" s="1" t="inlineStr">
        <is>
          <t>Resposta à Reflexão da W01 - O aluno respondeu que está sobrecarregado.</t>
        </is>
      </c>
      <c r="N6" s="1" t="inlineStr">
        <is>
          <t>O estudante respondeu que está se sentindo sobrecarregado na Reflexão da W01. Entre em contato com o estudante para ver como você pode ajudar.</t>
        </is>
      </c>
    </row>
    <row r="7" customFormat="1" s="37">
      <c r="A7" s="37" t="inlineStr">
        <is>
          <t>CSE110</t>
        </is>
      </c>
      <c r="B7" s="37" t="inlineStr">
        <is>
          <t>Grader-Issued 0</t>
        </is>
      </c>
      <c r="C7" s="37" t="inlineStr">
        <is>
          <t>S01 - Projeto: Histórias Inteligentes</t>
        </is>
      </c>
      <c r="D7" s="38" t="n">
        <v>2</v>
      </c>
      <c r="E7" s="38" t="n">
        <v>5</v>
      </c>
      <c r="F7" s="38" t="n"/>
      <c r="G7" s="39" t="n"/>
      <c r="H7" s="38" t="inlineStr">
        <is>
          <t>y</t>
        </is>
      </c>
      <c r="I7" s="40">
        <f>DATE(YEAR(Setup!$C$4),MONTH(Setup!$C$4),DAY(Setup!$C$4)+((D7-1)*7)+(E7-WEEKDAY(DATE(YEAR(Setup!$C$4),MONTH(Setup!$C$4),DAY(Setup!$C$4)),1)))</f>
        <v/>
      </c>
      <c r="J7" s="40">
        <f>I7+3</f>
        <v/>
      </c>
      <c r="K7" s="40">
        <f>(I7 + (7 - WEEKDAY(I7,1))) + 1</f>
        <v/>
      </c>
      <c r="L7" s="38" t="n"/>
      <c r="M7" s="37" t="inlineStr">
        <is>
          <t>Nota 0 atribuída pelo avaliador: Projeto W01</t>
        </is>
      </c>
      <c r="N7" s="37" t="inlineStr">
        <is>
          <t>Este estudante recebeu um “0” atribuído pelo avaliador no Projeto W01.  Isso provavelmente foi causado pelo envio de um modelo em branco, tarefa incorreta, uma versão plagiada da tarefa ou por apresentar dificuldades tão significativas que nenhum resultado de aprendizagem foi alcançado.  Acesse o livro de notas do Canvas e revise as observações deixadas pelo avaliador.  Envie uma mensagem para o estudante e trabalhe com ele para que a tarefa seja reenviada para avaliação.</t>
        </is>
      </c>
    </row>
    <row r="8" customFormat="1" s="37">
      <c r="A8" s="37" t="inlineStr">
        <is>
          <t>CSE110</t>
        </is>
      </c>
      <c r="B8" s="37" t="inlineStr">
        <is>
          <t>High Performance</t>
        </is>
      </c>
      <c r="C8" s="37" t="inlineStr">
        <is>
          <t>S01 - Projeto: Histórias Inteligentes</t>
        </is>
      </c>
      <c r="D8" s="38" t="n">
        <v>2</v>
      </c>
      <c r="E8" s="38" t="n">
        <v>5</v>
      </c>
      <c r="F8" s="38" t="n">
        <v>100</v>
      </c>
      <c r="G8" s="39" t="n">
        <v>0.8</v>
      </c>
      <c r="H8" s="38" t="inlineStr">
        <is>
          <t>y</t>
        </is>
      </c>
      <c r="I8" s="40">
        <f>DATE(YEAR(Setup!$C$4),MONTH(Setup!$C$4),DAY(Setup!$C$4)+((D8-1)*7)+(E8-WEEKDAY(DATE(YEAR(Setup!$C$4),MONTH(Setup!$C$4),DAY(Setup!$C$4)),1)))</f>
        <v/>
      </c>
      <c r="J8" s="40">
        <f>I8+3</f>
        <v/>
      </c>
      <c r="K8" s="40">
        <f>(I8 + (7 - WEEKDAY(I8,1))) + 1</f>
        <v/>
      </c>
      <c r="L8" s="38">
        <f>F8*G8</f>
        <v/>
      </c>
      <c r="M8" s="41" t="inlineStr">
        <is>
          <t>Alto Desempenho: Projeto da W01</t>
        </is>
      </c>
      <c r="N8" s="37" t="inlineStr">
        <is>
          <t>Este aluno obteve 80% ou mais no W01 Projeto: Histórias Inteligentes. Envie uma mensagem de elogio e incentivo pelo esforço e bom desempenho nesta tarefa.</t>
        </is>
      </c>
    </row>
    <row r="9" customFormat="1" s="37">
      <c r="A9" s="37" t="inlineStr">
        <is>
          <t>CSE110</t>
        </is>
      </c>
      <c r="B9" s="37" t="inlineStr">
        <is>
          <t>Low Performance</t>
        </is>
      </c>
      <c r="C9" s="37" t="inlineStr">
        <is>
          <t>S01 - Projeto: Histórias Inteligentes</t>
        </is>
      </c>
      <c r="D9" s="38" t="n">
        <v>2</v>
      </c>
      <c r="E9" s="38" t="n">
        <v>5</v>
      </c>
      <c r="F9" s="38" t="n">
        <v>100</v>
      </c>
      <c r="G9" s="39" t="n">
        <v>0.8</v>
      </c>
      <c r="H9" s="38" t="inlineStr">
        <is>
          <t>y</t>
        </is>
      </c>
      <c r="I9" s="40">
        <f>DATE(YEAR(Setup!$C$4),MONTH(Setup!$C$4),DAY(Setup!$C$4)+((D9-1)*7)+(E9-WEEKDAY(DATE(YEAR(Setup!$C$4),MONTH(Setup!$C$4),DAY(Setup!$C$4)),1)))</f>
        <v/>
      </c>
      <c r="J9" s="40">
        <f>I9+3</f>
        <v/>
      </c>
      <c r="K9" s="40">
        <f>(I9 + (7 - WEEKDAY(I9,1))) + 1</f>
        <v/>
      </c>
      <c r="L9" s="38">
        <f>F9*G9</f>
        <v/>
      </c>
      <c r="M9" s="41" t="inlineStr">
        <is>
          <t>Resultados Não Atendidos: Projeto da W01</t>
        </is>
      </c>
      <c r="N9" s="37" t="inlineStr">
        <is>
          <t>Este aluno obteve menos de 80% no Projeto da W01: Histórias Inteligentes. Envie uma mensagem para este aluno oferecendo alguma forma de ajuda para que ele(a) possa ter mais sucesso nesta tarefa e reenviá-la.</t>
        </is>
      </c>
    </row>
    <row r="10" customFormat="1" s="37">
      <c r="A10" s="37" t="inlineStr">
        <is>
          <t>CSE110</t>
        </is>
      </c>
      <c r="B10" s="37" t="inlineStr">
        <is>
          <t>Missing Assignment</t>
        </is>
      </c>
      <c r="C10" s="37" t="inlineStr">
        <is>
          <t>S02 - Projeto: Calculadora de Preço de Refeições</t>
        </is>
      </c>
      <c r="D10" s="38" t="n">
        <v>3</v>
      </c>
      <c r="E10" s="38" t="n">
        <v>1</v>
      </c>
      <c r="F10" s="38" t="n"/>
      <c r="G10" s="39" t="n"/>
      <c r="H10" s="38" t="inlineStr">
        <is>
          <t>y</t>
        </is>
      </c>
      <c r="I10" s="40">
        <f>DATE(YEAR(Setup!$C$4),MONTH(Setup!$C$4),DAY(Setup!$C$4)+((D10-1)*7)+(E10-WEEKDAY(DATE(YEAR(Setup!$C$4),MONTH(Setup!$C$4),DAY(Setup!$C$4)),1)))</f>
        <v/>
      </c>
      <c r="J10" s="40">
        <f>I10+3</f>
        <v/>
      </c>
      <c r="K10" s="40">
        <f>(I10 + (7 - WEEKDAY(I10,1))) + 1</f>
        <v/>
      </c>
      <c r="L10" s="38" t="n"/>
      <c r="M10" s="41" t="inlineStr">
        <is>
          <t>Projeto da W02 Pendente: Meal Price Calculator</t>
        </is>
      </c>
      <c r="N10" s="37" t="inlineStr">
        <is>
          <t>Projeto da W02 pendente: Calculadora de Preço de Refeição. Envie uma mensagem para entrar em contato com este aluno e incentivar o envio pontual da tarefa pendente</t>
        </is>
      </c>
    </row>
    <row r="11" customFormat="1" s="37">
      <c r="A11" s="37" t="inlineStr">
        <is>
          <t>CSE110</t>
        </is>
      </c>
      <c r="B11" s="1" t="inlineStr">
        <is>
          <t>Quiz Question</t>
        </is>
      </c>
      <c r="C11" s="1" t="inlineStr">
        <is>
          <t>S02 - Reflexão: NeedHelp Resposta: Sim</t>
        </is>
      </c>
      <c r="D11" s="23" t="n">
        <v>3</v>
      </c>
      <c r="E11" s="23" t="n">
        <v>2</v>
      </c>
      <c r="F11" s="23" t="n"/>
      <c r="G11" s="23" t="n"/>
      <c r="H11" s="23" t="inlineStr">
        <is>
          <t>y</t>
        </is>
      </c>
      <c r="I11" s="40">
        <f>DATE(YEAR(Setup!$C$4),MONTH(Setup!$C$4),DAY(Setup!$C$4)+((D11-1)*7)+(E11-WEEKDAY(DATE(YEAR(Setup!$C$4),MONTH(Setup!$C$4),DAY(Setup!$C$4)),1)))</f>
        <v/>
      </c>
      <c r="J11" s="40">
        <f>I11+3</f>
        <v/>
      </c>
      <c r="K11" s="40">
        <f>(I11 + (7 - WEEKDAY(I11,1))) + 1</f>
        <v/>
      </c>
      <c r="L11" s="23" t="n">
        <v>0</v>
      </c>
      <c r="M11" s="1" t="inlineStr">
        <is>
          <t>Resposta à Reflexão da W02 - O aluno respondeu que está sobrecarregado.</t>
        </is>
      </c>
      <c r="N11" s="1" t="inlineStr">
        <is>
          <t>O(A) estudante respondeu que está se sentindo sobrecarregado(a) na Reflexão da W02. Entre em contato com o(a) estudante para ver como você pode ajudar.</t>
        </is>
      </c>
    </row>
    <row r="12" customFormat="1" s="37">
      <c r="A12" s="37" t="inlineStr">
        <is>
          <t>CSE110</t>
        </is>
      </c>
      <c r="B12" s="37" t="inlineStr">
        <is>
          <t>Grader-Issued 0</t>
        </is>
      </c>
      <c r="C12" s="37" t="inlineStr">
        <is>
          <t>S02 - Projeto: Calculadora de Preço de Refeições</t>
        </is>
      </c>
      <c r="D12" s="38" t="n">
        <v>3</v>
      </c>
      <c r="E12" s="38" t="n">
        <v>5</v>
      </c>
      <c r="F12" s="38" t="n"/>
      <c r="G12" s="39" t="n"/>
      <c r="H12" s="38" t="inlineStr">
        <is>
          <t>y</t>
        </is>
      </c>
      <c r="I12" s="40">
        <f>DATE(YEAR(Setup!$C$4),MONTH(Setup!$C$4),DAY(Setup!$C$4)+((D12-1)*7)+(E12-WEEKDAY(DATE(YEAR(Setup!$C$4),MONTH(Setup!$C$4),DAY(Setup!$C$4)),1)))</f>
        <v/>
      </c>
      <c r="J12" s="40">
        <f>I12+3</f>
        <v/>
      </c>
      <c r="K12" s="40">
        <f>(I12 + (7 - WEEKDAY(I12,1))) + 1</f>
        <v/>
      </c>
      <c r="L12" s="38" t="n"/>
      <c r="M12" s="37" t="inlineStr">
        <is>
          <t>Avaliador Atribuiu 0: Projeto da W02</t>
        </is>
      </c>
      <c r="N12" s="37" t="inlineStr">
        <is>
          <t>Este aluno recebeu um “0” atribuído pelo avaliador no Projeto da W02.  Isso provavelmente foi causado pelo envio de um modelo em branco, tarefa incorreta, uma versão plagiada da tarefa ou por apresentar dificuldades tão significativas que nenhum objetivo foi alcançado.  Acesse o livro de notas do Canvas e revise as observações deixadas pelo avaliador.  Envie uma mensagem ao aluno e colabore com ele para que a tarefa seja reenviada para avaliação.</t>
        </is>
      </c>
    </row>
    <row r="13" customFormat="1" s="37">
      <c r="A13" s="37" t="inlineStr">
        <is>
          <t>CSE110</t>
        </is>
      </c>
      <c r="B13" s="37" t="inlineStr">
        <is>
          <t>High Performance</t>
        </is>
      </c>
      <c r="C13" s="37" t="inlineStr">
        <is>
          <t>S02 - Projeto: Calculadora de Preço de Refeições</t>
        </is>
      </c>
      <c r="D13" s="38" t="n">
        <v>3</v>
      </c>
      <c r="E13" s="38" t="n">
        <v>5</v>
      </c>
      <c r="F13" s="38" t="n">
        <v>100</v>
      </c>
      <c r="G13" s="39" t="n">
        <v>0.8</v>
      </c>
      <c r="H13" s="38" t="inlineStr">
        <is>
          <t>y</t>
        </is>
      </c>
      <c r="I13" s="40">
        <f>DATE(YEAR(Setup!$C$4),MONTH(Setup!$C$4),DAY(Setup!$C$4)+((D13-1)*7)+(E13-WEEKDAY(DATE(YEAR(Setup!$C$4),MONTH(Setup!$C$4),DAY(Setup!$C$4)),1)))</f>
        <v/>
      </c>
      <c r="J13" s="40">
        <f>I13+3</f>
        <v/>
      </c>
      <c r="K13" s="40">
        <f>(I13 + (7 - WEEKDAY(I13,1))) + 1</f>
        <v/>
      </c>
      <c r="L13" s="38">
        <f>F13*G13</f>
        <v/>
      </c>
      <c r="M13" s="41" t="inlineStr">
        <is>
          <t>Alto desempenho: Projeto W02</t>
        </is>
      </c>
      <c r="N13" s="37" t="inlineStr">
        <is>
          <t>Este estudante obteve nota de 80% ou mais no Projeto W02: Meat Price Calculator.  Envie uma mensagem de elogio e incentivo pelo esforço e bom desempenho nesta tarefa.</t>
        </is>
      </c>
    </row>
    <row r="14" customFormat="1" s="37">
      <c r="A14" s="37" t="inlineStr">
        <is>
          <t>CSE110</t>
        </is>
      </c>
      <c r="B14" s="37" t="inlineStr">
        <is>
          <t>Low Performance</t>
        </is>
      </c>
      <c r="C14" s="37" t="inlineStr">
        <is>
          <t>S02 - Projeto: Calculadora de Preço de Refeições</t>
        </is>
      </c>
      <c r="D14" s="38" t="n">
        <v>3</v>
      </c>
      <c r="E14" s="38" t="n">
        <v>5</v>
      </c>
      <c r="F14" s="38" t="n">
        <v>100</v>
      </c>
      <c r="G14" s="39" t="n">
        <v>0.8</v>
      </c>
      <c r="H14" s="38" t="inlineStr">
        <is>
          <t>y</t>
        </is>
      </c>
      <c r="I14" s="40">
        <f>DATE(YEAR(Setup!$C$4),MONTH(Setup!$C$4),DAY(Setup!$C$4)+((D14-1)*7)+(E14-WEEKDAY(DATE(YEAR(Setup!$C$4),MONTH(Setup!$C$4),DAY(Setup!$C$4)),1)))</f>
        <v/>
      </c>
      <c r="J14" s="40">
        <f>I14+3</f>
        <v/>
      </c>
      <c r="K14" s="40">
        <f>(I14 + (7 - WEEKDAY(I14,1))) + 1</f>
        <v/>
      </c>
      <c r="L14" s="38">
        <f>F14*G14</f>
        <v/>
      </c>
      <c r="M14" s="41" t="inlineStr">
        <is>
          <t>Resultados Não Atingidos: Projeto W02</t>
        </is>
      </c>
      <c r="N14" s="37" t="inlineStr">
        <is>
          <t>Este(a) estudante obteve menos de 80% no Projeto da W02: Calculadora de Preço de Refeição. Envie uma mensagem para este(a) estudante oferecendo algum tipo de ajuda para que ele/ela possa ter mais sucesso nesta tarefa e reenviá-la.</t>
        </is>
      </c>
    </row>
    <row r="15" customFormat="1" s="37">
      <c r="A15" s="37" t="inlineStr">
        <is>
          <t>CSE110</t>
        </is>
      </c>
      <c r="B15" s="37" t="inlineStr">
        <is>
          <t>Missing Assignment</t>
        </is>
      </c>
      <c r="C15" s="37" t="inlineStr">
        <is>
          <t>S03 - Projeto: Jogo de Aventura</t>
        </is>
      </c>
      <c r="D15" s="38" t="n">
        <v>4</v>
      </c>
      <c r="E15" s="38" t="n">
        <v>1</v>
      </c>
      <c r="F15" s="38" t="n"/>
      <c r="G15" s="39" t="n"/>
      <c r="H15" s="38" t="inlineStr">
        <is>
          <t>y</t>
        </is>
      </c>
      <c r="I15" s="40">
        <f>DATE(YEAR(Setup!$C$4),MONTH(Setup!$C$4),DAY(Setup!$C$4)+((D15-1)*7)+(E15-WEEKDAY(DATE(YEAR(Setup!$C$4),MONTH(Setup!$C$4),DAY(Setup!$C$4)),1)))</f>
        <v/>
      </c>
      <c r="J15" s="40">
        <f>I15+3</f>
        <v/>
      </c>
      <c r="K15" s="40">
        <f>(I15 + (7 - WEEKDAY(I15,1))) + 1</f>
        <v/>
      </c>
      <c r="L15" s="38" t="n"/>
      <c r="M15" s="41" t="inlineStr">
        <is>
          <t>Projeto da W03 Pendente: Adventure Game</t>
        </is>
      </c>
      <c r="N15" s="37" t="inlineStr">
        <is>
          <t>Projeto W03 pendente: Jogo de Aventura. Envie uma mensagem para entrar em contato com este aluno e incentivar o envio pontual da tarefa pendente.</t>
        </is>
      </c>
    </row>
    <row r="16" customFormat="1" s="37">
      <c r="A16" s="37" t="inlineStr">
        <is>
          <t>CSE110</t>
        </is>
      </c>
      <c r="B16" s="1" t="inlineStr">
        <is>
          <t>Quiz Question</t>
        </is>
      </c>
      <c r="C16" s="1" t="inlineStr">
        <is>
          <t>S03 - Reflexão: NeedHelp Resposta: Sim</t>
        </is>
      </c>
      <c r="D16" s="23" t="n">
        <v>4</v>
      </c>
      <c r="E16" s="23" t="n">
        <v>2</v>
      </c>
      <c r="F16" s="23" t="n"/>
      <c r="G16" s="23" t="n"/>
      <c r="H16" s="23" t="inlineStr">
        <is>
          <t>y</t>
        </is>
      </c>
      <c r="I16" s="40">
        <f>DATE(YEAR(Setup!$C$4),MONTH(Setup!$C$4),DAY(Setup!$C$4)+((D16-1)*7)+(E16-WEEKDAY(DATE(YEAR(Setup!$C$4),MONTH(Setup!$C$4),DAY(Setup!$C$4)),1)))</f>
        <v/>
      </c>
      <c r="J16" s="40">
        <f>I16+3</f>
        <v/>
      </c>
      <c r="K16" s="40">
        <f>(I16 + (7 - WEEKDAY(I16,1))) + 1</f>
        <v/>
      </c>
      <c r="L16" s="23" t="n">
        <v>0</v>
      </c>
      <c r="M16" s="1" t="inlineStr">
        <is>
          <t>Resposta à Reflexão da W03 - O estudante respondeu que está sobrecarregado.</t>
        </is>
      </c>
      <c r="N16" s="1" t="inlineStr">
        <is>
          <t>O aluno respondeu na Reflexão W03 que está se sentindo sobrecarregado. Entre em contato com o aluno para ver como você pode ajudar.</t>
        </is>
      </c>
    </row>
    <row r="17" customFormat="1" s="37">
      <c r="A17" s="37" t="inlineStr">
        <is>
          <t>CSE110</t>
        </is>
      </c>
      <c r="B17" s="1" t="inlineStr">
        <is>
          <t>Scheduled - Low Current Grade</t>
        </is>
      </c>
      <c r="C17" s="1" t="inlineStr">
        <is>
          <t>Lembrete de Prazo de Cancelamento</t>
        </is>
      </c>
      <c r="D17" s="23" t="n">
        <v>4</v>
      </c>
      <c r="E17" s="23" t="n">
        <v>4</v>
      </c>
      <c r="F17" s="23" t="n"/>
      <c r="G17" s="30" t="n">
        <v>0.4</v>
      </c>
      <c r="H17" s="23" t="inlineStr">
        <is>
          <t>y</t>
        </is>
      </c>
      <c r="I17" s="40">
        <f>DATE(YEAR(Setup!$C$4),MONTH(Setup!$C$4),DAY(Setup!$C$4)+((D17-1)*7)+(E17-WEEKDAY(DATE(YEAR(Setup!$C$4),MONTH(Setup!$C$4),DAY(Setup!$C$4)),1)))</f>
        <v/>
      </c>
      <c r="J17" s="40">
        <f>I17+3</f>
        <v/>
      </c>
      <c r="K17" s="40">
        <f>(I17 + (7 - WEEKDAY(I17,1))) + 1</f>
        <v/>
      </c>
      <c r="L17" s="23" t="n">
        <v>0</v>
      </c>
      <c r="M17" s="1" t="inlineStr">
        <is>
          <t>Aluno em situação de reprovação. Lembrete de cancelamento de matrícula</t>
        </is>
      </c>
      <c r="N17" s="1" t="inlineStr">
        <is>
          <t>Envie um e-mail para os alunos que estão reprovando no momento e que têm poucas chances de recuperação, lembrando-os do prazo de trancamento.</t>
        </is>
      </c>
    </row>
    <row r="18" customFormat="1" s="37">
      <c r="A18" s="37" t="inlineStr">
        <is>
          <t>CSE110</t>
        </is>
      </c>
      <c r="B18" s="37" t="inlineStr">
        <is>
          <t>Grader-Issued 0</t>
        </is>
      </c>
      <c r="C18" s="37" t="inlineStr">
        <is>
          <t>S03 - Projeto: Jogo de Aventura</t>
        </is>
      </c>
      <c r="D18" s="38" t="n">
        <v>4</v>
      </c>
      <c r="E18" s="38" t="n">
        <v>5</v>
      </c>
      <c r="F18" s="38" t="n"/>
      <c r="G18" s="39" t="n"/>
      <c r="H18" s="38" t="inlineStr">
        <is>
          <t>y</t>
        </is>
      </c>
      <c r="I18" s="40">
        <f>DATE(YEAR(Setup!$C$4),MONTH(Setup!$C$4),DAY(Setup!$C$4)+((D18-1)*7)+(E18-WEEKDAY(DATE(YEAR(Setup!$C$4),MONTH(Setup!$C$4),DAY(Setup!$C$4)),1)))</f>
        <v/>
      </c>
      <c r="J18" s="40">
        <f>I18+3</f>
        <v/>
      </c>
      <c r="K18" s="40">
        <f>(I18 + (7 - WEEKDAY(I18,1))) + 1</f>
        <v/>
      </c>
      <c r="L18" s="38" t="n"/>
      <c r="M18" s="37" t="inlineStr">
        <is>
          <t>Nota 0 atribuída pelo Corretor: Projeto da W03</t>
        </is>
      </c>
      <c r="N18" s="37" t="inlineStr">
        <is>
          <t>Este aluno obteve um “0” atribuído pelo avaliador no Projeto da W03.  Isso provavelmente foi causado pelo envio de um modelo em branco, tarefa incorreta, uma versão plagiada da tarefa ou por apresentar dificuldades tão significativas que nenhum objetivo foi alcançado.  Acesse o livro de notas do Canvas e revise as observações deixadas pelo avaliador.  Envie uma mensagem para o aluno e trabalhe com ele para que a tarefa seja reenviada para avaliação.</t>
        </is>
      </c>
    </row>
    <row r="19" customFormat="1" s="37">
      <c r="A19" s="37" t="inlineStr">
        <is>
          <t>CSE110</t>
        </is>
      </c>
      <c r="B19" s="37" t="inlineStr">
        <is>
          <t>High Performance</t>
        </is>
      </c>
      <c r="C19" s="37" t="inlineStr">
        <is>
          <t>S03 - Projeto: Jogo de Aventura</t>
        </is>
      </c>
      <c r="D19" s="38" t="n">
        <v>4</v>
      </c>
      <c r="E19" s="38" t="n">
        <v>5</v>
      </c>
      <c r="F19" s="38" t="n">
        <v>100</v>
      </c>
      <c r="G19" s="39" t="n">
        <v>0.8</v>
      </c>
      <c r="H19" s="38" t="inlineStr">
        <is>
          <t>y</t>
        </is>
      </c>
      <c r="I19" s="40">
        <f>DATE(YEAR(Setup!$C$4),MONTH(Setup!$C$4),DAY(Setup!$C$4)+((D19-1)*7)+(E19-WEEKDAY(DATE(YEAR(Setup!$C$4),MONTH(Setup!$C$4),DAY(Setup!$C$4)),1)))</f>
        <v/>
      </c>
      <c r="J19" s="40">
        <f>I19+3</f>
        <v/>
      </c>
      <c r="K19" s="40">
        <f>(I19 + (7 - WEEKDAY(I19,1))) + 1</f>
        <v/>
      </c>
      <c r="L19" s="38">
        <f>F19*G19</f>
        <v/>
      </c>
      <c r="M19" s="41" t="inlineStr">
        <is>
          <t>Alto Desempenho: Projeto da W03</t>
        </is>
      </c>
      <c r="N19" s="37" t="inlineStr">
        <is>
          <t>Este aluno obteve nota igual ou superior a 80% no Projeto W03: Jogo de aventura. Envie uma mensagem de elogio e incentivo pelo esforço e bom desempenho nesta tarefa.</t>
        </is>
      </c>
    </row>
    <row r="20" ht="15.95" customFormat="1" customHeight="1" s="37">
      <c r="A20" s="37" t="inlineStr">
        <is>
          <t>CSE110</t>
        </is>
      </c>
      <c r="B20" s="42" t="inlineStr">
        <is>
          <t>Low Performance</t>
        </is>
      </c>
      <c r="C20" s="37" t="inlineStr">
        <is>
          <t>S03 - Projeto: Jogo de Aventura</t>
        </is>
      </c>
      <c r="D20" s="38" t="n">
        <v>4</v>
      </c>
      <c r="E20" s="38" t="n">
        <v>5</v>
      </c>
      <c r="F20" s="38" t="n">
        <v>100</v>
      </c>
      <c r="G20" s="39" t="n">
        <v>0.8</v>
      </c>
      <c r="H20" s="38" t="inlineStr">
        <is>
          <t>y</t>
        </is>
      </c>
      <c r="I20" s="40">
        <f>DATE(YEAR(Setup!$C$4),MONTH(Setup!$C$4),DAY(Setup!$C$4)+((D20-1)*7)+(E20-WEEKDAY(DATE(YEAR(Setup!$C$4),MONTH(Setup!$C$4),DAY(Setup!$C$4)),1)))</f>
        <v/>
      </c>
      <c r="J20" s="40">
        <f>I20+3</f>
        <v/>
      </c>
      <c r="K20" s="40">
        <f>(I20 + (7 - WEEKDAY(I20,1))) + 1</f>
        <v/>
      </c>
      <c r="L20" s="38">
        <f>F20*G20</f>
        <v/>
      </c>
      <c r="M20" s="41" t="inlineStr">
        <is>
          <t>Resultados Não Alcançados: W03 Projeto</t>
        </is>
      </c>
      <c r="N20" s="37" t="inlineStr">
        <is>
          <t>Este aluno obteve menos de 80% no Projeto da W03: Jogo de Aventura. Envie uma mensagem para este aluno oferecendo algum tipo de ajuda para que ele(a) possa ter mais sucesso nesta tarefa e reenviá-la.</t>
        </is>
      </c>
    </row>
    <row r="21" customFormat="1" s="37">
      <c r="A21" s="37" t="inlineStr">
        <is>
          <t>CSE110</t>
        </is>
      </c>
      <c r="B21" s="37" t="inlineStr">
        <is>
          <t>Missing Assignment</t>
        </is>
      </c>
      <c r="C21" s="37" t="inlineStr">
        <is>
          <t>S04 - Projeto: Adivinhação de Palavras</t>
        </is>
      </c>
      <c r="D21" s="38" t="n">
        <v>5</v>
      </c>
      <c r="E21" s="38" t="n">
        <v>1</v>
      </c>
      <c r="F21" s="38" t="n"/>
      <c r="G21" s="39" t="n"/>
      <c r="H21" s="38" t="inlineStr">
        <is>
          <t>y</t>
        </is>
      </c>
      <c r="I21" s="40">
        <f>DATE(YEAR(Setup!$C$4),MONTH(Setup!$C$4),DAY(Setup!$C$4)+((D21-1)*7)+(E21-WEEKDAY(DATE(YEAR(Setup!$C$4),MONTH(Setup!$C$4),DAY(Setup!$C$4)),1)))</f>
        <v/>
      </c>
      <c r="J21" s="40">
        <f>I21+3</f>
        <v/>
      </c>
      <c r="K21" s="40">
        <f>(I21 + (7 - WEEKDAY(I21,1))) + 1</f>
        <v/>
      </c>
      <c r="L21" s="38" t="n"/>
      <c r="M21" s="41" t="inlineStr">
        <is>
          <t>Projeto W04 pendente: Quebra-Cabeça de Palavras</t>
        </is>
      </c>
      <c r="N21" s="37" t="inlineStr">
        <is>
          <t>Pendente: Projeto W04: Word Puzzle. Envie uma mensagem para verificar a situação deste estudante e incentivar o envio pontual da tarefa pendente</t>
        </is>
      </c>
    </row>
    <row r="22" customFormat="1" s="37">
      <c r="A22" s="37" t="inlineStr">
        <is>
          <t>CSE110</t>
        </is>
      </c>
      <c r="B22" s="1" t="inlineStr">
        <is>
          <t>Quiz Question</t>
        </is>
      </c>
      <c r="C22" s="1" t="inlineStr">
        <is>
          <t>S04 - Reflexão: NeedHelp Resposta: Sim</t>
        </is>
      </c>
      <c r="D22" s="23" t="n">
        <v>5</v>
      </c>
      <c r="E22" s="23" t="n">
        <v>2</v>
      </c>
      <c r="F22" s="23" t="n"/>
      <c r="G22" s="23" t="n"/>
      <c r="H22" s="23" t="inlineStr">
        <is>
          <t>y</t>
        </is>
      </c>
      <c r="I22" s="40">
        <f>DATE(YEAR(Setup!$C$4),MONTH(Setup!$C$4),DAY(Setup!$C$4)+((D22-1)*7)+(E22-WEEKDAY(DATE(YEAR(Setup!$C$4),MONTH(Setup!$C$4),DAY(Setup!$C$4)),1)))</f>
        <v/>
      </c>
      <c r="J22" s="40">
        <f>I22+3</f>
        <v/>
      </c>
      <c r="K22" s="40">
        <f>(I22 + (7 - WEEKDAY(I22,1))) + 1</f>
        <v/>
      </c>
      <c r="L22" s="23" t="n">
        <v>0</v>
      </c>
      <c r="M22" s="1" t="inlineStr">
        <is>
          <t>Resposta à Reflexão W04 - O aluno respondeu que está sobrecarregado.</t>
        </is>
      </c>
      <c r="N22" s="1" t="inlineStr">
        <is>
          <t>O(A) estudante respondeu que está se sentindo sobrecarregado(a) na Reflexão da W04. Entre em contato com o(a) estudante para ver como você pode ajudar.</t>
        </is>
      </c>
    </row>
    <row r="23" customFormat="1" s="37">
      <c r="A23" s="37" t="inlineStr">
        <is>
          <t>CSE110</t>
        </is>
      </c>
      <c r="B23" s="37" t="inlineStr">
        <is>
          <t>Grader-Issued 0</t>
        </is>
      </c>
      <c r="C23" s="37" t="inlineStr">
        <is>
          <t>S04 - Projeto: Adivinhação de Palavras</t>
        </is>
      </c>
      <c r="D23" s="38" t="n">
        <v>5</v>
      </c>
      <c r="E23" s="38" t="n">
        <v>5</v>
      </c>
      <c r="F23" s="38" t="n"/>
      <c r="G23" s="39" t="n"/>
      <c r="H23" s="38" t="inlineStr">
        <is>
          <t>y</t>
        </is>
      </c>
      <c r="I23" s="40">
        <f>DATE(YEAR(Setup!$C$4),MONTH(Setup!$C$4),DAY(Setup!$C$4)+((D23-1)*7)+(E23-WEEKDAY(DATE(YEAR(Setup!$C$4),MONTH(Setup!$C$4),DAY(Setup!$C$4)),1)))</f>
        <v/>
      </c>
      <c r="J23" s="40">
        <f>I23+3</f>
        <v/>
      </c>
      <c r="K23" s="40">
        <f>(I23 + (7 - WEEKDAY(I23,1))) + 1</f>
        <v/>
      </c>
      <c r="L23" s="38" t="n"/>
      <c r="M23" s="37" t="inlineStr">
        <is>
          <t>Nota 0 atribuída pelo avaliador: Projeto W04</t>
        </is>
      </c>
      <c r="N23" s="37" t="inlineStr">
        <is>
          <t>Este estudante recebeu um “0” atribuído pelo avaliador no Projeto W04.  Isso provavelmente foi causado pelo envio de um modelo em branco, tarefa incorreta, uma versão plagiada da tarefa ou por apresentar dificuldades tão significativas que nenhum resultado de aprendizagem foi alcançado.  Acesse o livro de notas do Canvas e revise as observações deixadas pelo avaliador.  Envie uma mensagem para o estudante e trabalhe com ele para que a tarefa seja reenviada para avaliação.</t>
        </is>
      </c>
    </row>
    <row r="24" customFormat="1" s="37">
      <c r="A24" s="37" t="inlineStr">
        <is>
          <t>CSE110</t>
        </is>
      </c>
      <c r="B24" s="37" t="inlineStr">
        <is>
          <t>High Performance</t>
        </is>
      </c>
      <c r="C24" s="37" t="inlineStr">
        <is>
          <t>S04 - Projeto: Adivinhação de Palavras</t>
        </is>
      </c>
      <c r="D24" s="38" t="n">
        <v>5</v>
      </c>
      <c r="E24" s="38" t="n">
        <v>5</v>
      </c>
      <c r="F24" s="38" t="n">
        <v>100</v>
      </c>
      <c r="G24" s="39" t="n">
        <v>0.8</v>
      </c>
      <c r="H24" s="38" t="inlineStr">
        <is>
          <t>y</t>
        </is>
      </c>
      <c r="I24" s="40">
        <f>DATE(YEAR(Setup!$C$4),MONTH(Setup!$C$4),DAY(Setup!$C$4)+((D24-1)*7)+(E24-WEEKDAY(DATE(YEAR(Setup!$C$4),MONTH(Setup!$C$4),DAY(Setup!$C$4)),1)))</f>
        <v/>
      </c>
      <c r="J24" s="40">
        <f>I24+3</f>
        <v/>
      </c>
      <c r="K24" s="40">
        <f>(I24 + (7 - WEEKDAY(I24,1))) + 1</f>
        <v/>
      </c>
      <c r="L24" s="38">
        <f>F24*G24</f>
        <v/>
      </c>
      <c r="M24" s="41" t="inlineStr">
        <is>
          <t>Alto desempenho: Projeto W04</t>
        </is>
      </c>
      <c r="N24" s="37" t="inlineStr">
        <is>
          <t>Este aluno obteve nota igual ou superior a 80% no Projeto da W04: Quebra-cabeça de Palavras.  Envie uma mensagem de elogio e incentivo pelo esforço e bom desempenho nesta tarefa.</t>
        </is>
      </c>
    </row>
    <row r="25">
      <c r="A25" s="37" t="inlineStr">
        <is>
          <t>CSE110</t>
        </is>
      </c>
      <c r="B25" s="37" t="inlineStr">
        <is>
          <t>Low Performance</t>
        </is>
      </c>
      <c r="C25" s="37" t="inlineStr">
        <is>
          <t>S04 - Projeto: Adivinhação de Palavras</t>
        </is>
      </c>
      <c r="D25" s="38" t="n">
        <v>5</v>
      </c>
      <c r="E25" s="38" t="n">
        <v>5</v>
      </c>
      <c r="F25" s="38" t="n">
        <v>100</v>
      </c>
      <c r="G25" s="39" t="n">
        <v>0.8</v>
      </c>
      <c r="H25" s="38" t="inlineStr">
        <is>
          <t>y</t>
        </is>
      </c>
      <c r="I25" s="40">
        <f>DATE(YEAR(Setup!$C$4),MONTH(Setup!$C$4),DAY(Setup!$C$4)+((D25-1)*7)+(E25-WEEKDAY(DATE(YEAR(Setup!$C$4),MONTH(Setup!$C$4),DAY(Setup!$C$4)),1)))</f>
        <v/>
      </c>
      <c r="J25" s="40">
        <f>I25+3</f>
        <v/>
      </c>
      <c r="K25" s="40">
        <f>(I25 + (7 - WEEKDAY(I25,1))) + 1</f>
        <v/>
      </c>
      <c r="L25" s="38">
        <f>F25*G25</f>
        <v/>
      </c>
      <c r="M25" s="41" t="inlineStr">
        <is>
          <t>Resultados Não Atingidos: Projeto W04</t>
        </is>
      </c>
      <c r="N25" s="37" t="inlineStr">
        <is>
          <t>Este aluno obteve nota inferior a 80% no Projeto da W04: Word Puzzle. Envie uma mensagem para este aluno oferecendo algum tipo de ajuda para que ele possa ter mais sucesso nesta tarefa e enviá-la novamente.</t>
        </is>
      </c>
    </row>
    <row r="26">
      <c r="A26" s="37" t="inlineStr">
        <is>
          <t>CSE110</t>
        </is>
      </c>
      <c r="B26" s="37" t="inlineStr">
        <is>
          <t>Missing Assignment</t>
        </is>
      </c>
      <c r="C26" s="37" t="inlineStr">
        <is>
          <t>S05 - Projeto: Carrinho de Compras</t>
        </is>
      </c>
      <c r="D26" s="38" t="n">
        <v>6</v>
      </c>
      <c r="E26" s="38" t="n">
        <v>1</v>
      </c>
      <c r="F26" s="38" t="n"/>
      <c r="G26" s="39" t="n"/>
      <c r="H26" s="38" t="inlineStr">
        <is>
          <t>y</t>
        </is>
      </c>
      <c r="I26" s="40">
        <f>DATE(YEAR(Setup!$C$4),MONTH(Setup!$C$4),DAY(Setup!$C$4)+((D26-1)*7)+(E26-WEEKDAY(DATE(YEAR(Setup!$C$4),MONTH(Setup!$C$4),DAY(Setup!$C$4)),1)))</f>
        <v/>
      </c>
      <c r="J26" s="40">
        <f>I26+3</f>
        <v/>
      </c>
      <c r="K26" s="40">
        <f>(I26 + (7 - WEEKDAY(I26,1))) + 1</f>
        <v/>
      </c>
      <c r="L26" s="38" t="n"/>
      <c r="M26" s="41" t="inlineStr">
        <is>
          <t>Projeto da W05 Pendente: Carrinho de Compras</t>
        </is>
      </c>
      <c r="N26" s="37" t="inlineStr">
        <is>
          <t>Pendente - Projeto da W05: Carrinho de Compras. Envie uma mensagem para entrar em contato com este aluno e incentivar o envio pontual da tarefa pendente</t>
        </is>
      </c>
    </row>
    <row r="27">
      <c r="A27" s="37" t="inlineStr">
        <is>
          <t>CSE110</t>
        </is>
      </c>
      <c r="B27" s="1" t="inlineStr">
        <is>
          <t>Quiz Question</t>
        </is>
      </c>
      <c r="C27" s="1" t="inlineStr">
        <is>
          <t>S05 - Reflexão: NeedHelp Resposta: Sim</t>
        </is>
      </c>
      <c r="D27" s="23" t="n">
        <v>6</v>
      </c>
      <c r="E27" s="23" t="n">
        <v>2</v>
      </c>
      <c r="H27" s="23" t="inlineStr">
        <is>
          <t>y</t>
        </is>
      </c>
      <c r="I27" s="40">
        <f>DATE(YEAR(Setup!$C$4),MONTH(Setup!$C$4),DAY(Setup!$C$4)+((D27-1)*7)+(E27-WEEKDAY(DATE(YEAR(Setup!$C$4),MONTH(Setup!$C$4),DAY(Setup!$C$4)),1)))</f>
        <v/>
      </c>
      <c r="J27" s="40">
        <f>I27+3</f>
        <v/>
      </c>
      <c r="K27" s="40">
        <f>(I27 + (7 - WEEKDAY(I27,1))) + 1</f>
        <v/>
      </c>
      <c r="L27" s="23" t="n">
        <v>0</v>
      </c>
      <c r="M27" s="1" t="inlineStr">
        <is>
          <t>Resposta à Reflexão W05 - O aluno respondeu que está sobrecarregado.</t>
        </is>
      </c>
      <c r="N27" s="1" t="inlineStr">
        <is>
          <t>O aluno respondeu que está se sentindo sobrecarregado na Reflexão da W05. Entre em contato com o aluno para ver como pode ajudar.</t>
        </is>
      </c>
    </row>
    <row r="28">
      <c r="A28" s="37" t="inlineStr">
        <is>
          <t>CSE110</t>
        </is>
      </c>
      <c r="B28" s="37" t="inlineStr">
        <is>
          <t>Grader-Issued 0</t>
        </is>
      </c>
      <c r="C28" s="37" t="inlineStr">
        <is>
          <t>S05 - Projeto: Carrinho de Compras</t>
        </is>
      </c>
      <c r="D28" s="38" t="n">
        <v>6</v>
      </c>
      <c r="E28" s="38" t="n">
        <v>5</v>
      </c>
      <c r="F28" s="38" t="n"/>
      <c r="G28" s="39" t="n"/>
      <c r="H28" s="38" t="inlineStr">
        <is>
          <t>y</t>
        </is>
      </c>
      <c r="I28" s="40">
        <f>DATE(YEAR(Setup!$C$4),MONTH(Setup!$C$4),DAY(Setup!$C$4)+((D28-1)*7)+(E28-WEEKDAY(DATE(YEAR(Setup!$C$4),MONTH(Setup!$C$4),DAY(Setup!$C$4)),1)))</f>
        <v/>
      </c>
      <c r="J28" s="40">
        <f>I28+3</f>
        <v/>
      </c>
      <c r="K28" s="40">
        <f>(I28 + (7 - WEEKDAY(I28,1))) + 1</f>
        <v/>
      </c>
      <c r="L28" s="38" t="n"/>
      <c r="M28" s="37" t="inlineStr">
        <is>
          <t>Avaliador atribuiu nota 0: Projeto W05</t>
        </is>
      </c>
      <c r="N28" s="37" t="inlineStr">
        <is>
          <t>Este aluno recebeu um “0” atribuído pelo avaliador no Projeto W05. Isso provavelmente foi causado pelo envio de um modelo em branco, tarefa incorreta, uma versão plagiada da tarefa ou por apresentar tanta dificuldade que nenhum objetivo foi alcançado. Faça login no boletim de notas do Canvas e revise as observações deixadas pelo avaliador. Envie uma mensagem ao aluno e trabalhe com ele para que a tarefa seja enviada novamente para avaliação.</t>
        </is>
      </c>
    </row>
    <row r="29">
      <c r="A29" s="37" t="inlineStr">
        <is>
          <t>CSE110</t>
        </is>
      </c>
      <c r="B29" s="37" t="inlineStr">
        <is>
          <t>High Performance</t>
        </is>
      </c>
      <c r="C29" s="37" t="inlineStr">
        <is>
          <t>S05 - Projeto: Carrinho de Compras</t>
        </is>
      </c>
      <c r="D29" s="38" t="n">
        <v>6</v>
      </c>
      <c r="E29" s="38" t="n">
        <v>5</v>
      </c>
      <c r="F29" s="38" t="n">
        <v>100</v>
      </c>
      <c r="G29" s="39" t="n">
        <v>0.8</v>
      </c>
      <c r="H29" s="38" t="inlineStr">
        <is>
          <t>y</t>
        </is>
      </c>
      <c r="I29" s="40">
        <f>DATE(YEAR(Setup!$C$4),MONTH(Setup!$C$4),DAY(Setup!$C$4)+((D29-1)*7)+(E29-WEEKDAY(DATE(YEAR(Setup!$C$4),MONTH(Setup!$C$4),DAY(Setup!$C$4)),1)))</f>
        <v/>
      </c>
      <c r="J29" s="40">
        <f>I29+3</f>
        <v/>
      </c>
      <c r="K29" s="40">
        <f>(I29 + (7 - WEEKDAY(I29,1))) + 1</f>
        <v/>
      </c>
      <c r="L29" s="38">
        <f>F29*G29</f>
        <v/>
      </c>
      <c r="M29" s="41" t="inlineStr">
        <is>
          <t>Alto Desempenho: Projeto da W05</t>
        </is>
      </c>
      <c r="N29" s="37" t="inlineStr">
        <is>
          <t>Este aluno pontuou 80% ou mais no Projeto da W05: Carrinho de Compras. Envie uma mensagem de elogio e incentivo pelo esforço e bom desempenho nesta tarefa.</t>
        </is>
      </c>
    </row>
    <row r="30">
      <c r="A30" s="37" t="inlineStr">
        <is>
          <t>CSE110</t>
        </is>
      </c>
      <c r="B30" s="37" t="inlineStr">
        <is>
          <t>Low Performance</t>
        </is>
      </c>
      <c r="C30" s="37" t="inlineStr">
        <is>
          <t>S05 - Projeto: Carrinho de Compras</t>
        </is>
      </c>
      <c r="D30" s="38" t="n">
        <v>6</v>
      </c>
      <c r="E30" s="38" t="n">
        <v>5</v>
      </c>
      <c r="F30" s="38" t="n">
        <v>100</v>
      </c>
      <c r="G30" s="39" t="n">
        <v>0.8</v>
      </c>
      <c r="H30" s="38" t="inlineStr">
        <is>
          <t>y</t>
        </is>
      </c>
      <c r="I30" s="40">
        <f>DATE(YEAR(Setup!$C$4),MONTH(Setup!$C$4),DAY(Setup!$C$4)+((D30-1)*7)+(E30-WEEKDAY(DATE(YEAR(Setup!$C$4),MONTH(Setup!$C$4),DAY(Setup!$C$4)),1)))</f>
        <v/>
      </c>
      <c r="J30" s="40">
        <f>I30+3</f>
        <v/>
      </c>
      <c r="K30" s="40">
        <f>(I30 + (7 - WEEKDAY(I30,1))) + 1</f>
        <v/>
      </c>
      <c r="L30" s="38">
        <f>F30*G30</f>
        <v/>
      </c>
      <c r="M30" s="41" t="inlineStr">
        <is>
          <t>Resultados Não Alcançados: W05 Projeto</t>
        </is>
      </c>
      <c r="N30" s="37" t="inlineStr">
        <is>
          <t>Este aluno obteve nota menor que 80% no Projeto W05: Carrinho de Compras. Envie uma mensagem para este aluno oferecendo alguma forma de ajuda para que ele/ela possa ter mais sucesso nesta tarefa e enviá-la novamente.</t>
        </is>
      </c>
    </row>
    <row r="31">
      <c r="A31" s="37" t="inlineStr">
        <is>
          <t>CSE110</t>
        </is>
      </c>
      <c r="B31" s="37" t="inlineStr">
        <is>
          <t>Scheduled - Classwide</t>
        </is>
      </c>
      <c r="C31" s="37" t="inlineStr">
        <is>
          <t>Lembrete de Encerramento do Curso</t>
        </is>
      </c>
      <c r="D31" s="38" t="n">
        <v>7</v>
      </c>
      <c r="E31" s="38" t="n">
        <v>1</v>
      </c>
      <c r="F31" s="38" t="n"/>
      <c r="G31" s="39" t="n"/>
      <c r="H31" s="38" t="inlineStr">
        <is>
          <t>y</t>
        </is>
      </c>
      <c r="I31" s="40">
        <f>DATE(YEAR(Setup!$C$4),MONTH(Setup!$C$4),DAY(Setup!$C$4)+((D31-1)*7)+(E31-WEEKDAY(DATE(YEAR(Setup!$C$4),MONTH(Setup!$C$4),DAY(Setup!$C$4)),1)))</f>
        <v/>
      </c>
      <c r="J31" s="40">
        <f>I31+3</f>
        <v/>
      </c>
      <c r="K31" s="40">
        <f>(I31 + (7 - WEEKDAY(I31,1))) + 1</f>
        <v/>
      </c>
      <c r="L31" s="38" t="n"/>
      <c r="M31" s="41" t="inlineStr">
        <is>
          <t>Lembrete de Encerramento do Curso</t>
        </is>
      </c>
      <c r="N31" s="37" t="inlineStr">
        <is>
          <t>Envie uma mensagem aos seus alunos, lembrando-os de que o curso se encerra esta semana e sobre os prazos que devem cumprir para entregar as tarefas e aplicá-las à nota final.</t>
        </is>
      </c>
    </row>
    <row r="32">
      <c r="A32" s="37" t="inlineStr">
        <is>
          <t>CSE110</t>
        </is>
      </c>
      <c r="B32" s="1" t="inlineStr">
        <is>
          <t>Scheduled - Classwide</t>
        </is>
      </c>
      <c r="C32" s="1" t="inlineStr">
        <is>
          <t>Lembrete de Inscrição 2</t>
        </is>
      </c>
      <c r="D32" s="23" t="n">
        <v>7</v>
      </c>
      <c r="E32" s="23" t="n">
        <v>1</v>
      </c>
      <c r="H32" s="23" t="inlineStr">
        <is>
          <t>y</t>
        </is>
      </c>
      <c r="I32" s="40">
        <f>DATE(YEAR(Setup!$C$4),MONTH(Setup!$C$4),DAY(Setup!$C$4)+((D32-1)*7)+(E32-WEEKDAY(DATE(YEAR(Setup!$C$4),MONTH(Setup!$C$4),DAY(Setup!$C$4)),1)))</f>
        <v/>
      </c>
      <c r="J32" s="40">
        <f>I32+3</f>
        <v/>
      </c>
      <c r="K32" s="40">
        <f>(I32 + (7 - WEEKDAY(I32,1))) + 1</f>
        <v/>
      </c>
      <c r="L32" s="23" t="n">
        <v>0</v>
      </c>
      <c r="M32" s="1" t="inlineStr">
        <is>
          <t>Lembrete de Matrícula 2</t>
        </is>
      </c>
      <c r="N32" s="1" t="inlineStr">
        <is>
          <t>Envie uma mensagem a todos os alunos, lembrando-os de que as inscrições para o próximo bloco ainda estão abertas, mas serão encerradas em breve. Incentive-os a acessar o sistema e se inscrever o quanto antes.</t>
        </is>
      </c>
    </row>
    <row r="33">
      <c r="A33" s="37" t="inlineStr">
        <is>
          <t>CSE110</t>
        </is>
      </c>
      <c r="B33" s="1" t="inlineStr">
        <is>
          <t>Scheduled - Classwide</t>
        </is>
      </c>
      <c r="C33" s="1" t="inlineStr">
        <is>
          <t>Lembrete de Fim de Bloco</t>
        </is>
      </c>
      <c r="D33" s="23" t="n">
        <v>7</v>
      </c>
      <c r="E33" s="23" t="n">
        <v>2</v>
      </c>
      <c r="F33" s="23" t="inlineStr">
        <is>
          <t xml:space="preserve"> </t>
        </is>
      </c>
      <c r="H33" s="23" t="inlineStr">
        <is>
          <t>y</t>
        </is>
      </c>
      <c r="I33" s="40">
        <f>DATE(YEAR(Setup!$C$4),MONTH(Setup!$C$4),DAY(Setup!$C$4)+((D33-1)*7)+(E33-WEEKDAY(DATE(YEAR(Setup!$C$4),MONTH(Setup!$C$4),DAY(Setup!$C$4)),1)))</f>
        <v/>
      </c>
      <c r="J33" s="40">
        <f>I33+3</f>
        <v/>
      </c>
      <c r="K33" s="40">
        <f>(I33 + (7 - WEEKDAY(I33,1))) + 1</f>
        <v/>
      </c>
      <c r="M33" s="1" t="inlineStr">
        <is>
          <t>Lembrete de Fim de Bloco</t>
        </is>
      </c>
      <c r="N33" s="1" t="inlineStr">
        <is>
          <t>Lembre os alunos de que o curso será encerrado, para enviarem as tarefas dentro do prazo e preencherem a Avaliação de Fim de Curso</t>
        </is>
      </c>
    </row>
  </sheetData>
  <sheetProtection selectLockedCells="1" selectUnlockedCells="0" algorithmName="SHA-512" sheet="1" objects="0" insertRows="0" insertHyperlinks="1" autoFilter="0" scenarios="0" formatColumns="1" deleteColumns="1" insertColumns="1" pivotTables="1" deleteRows="0" formatCells="0" saltValue="s4VtlvKcNEO0bM4SUJ4zyQ==" formatRows="0" sort="0" spinCount="100000" hashValue="5XGj1HledaiHovPhYjKF4ZVGxI0VoxK1XdlNftCav817YT005AcojoJJ9vruLNpU04l+SfdGy3g1o9C40hLsYA=="/>
  <autoFilter ref="A1:N33"/>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3.xml><?xml version="1.0" encoding="utf-8"?>
<worksheet xmlns="http://schemas.openxmlformats.org/spreadsheetml/2006/main">
  <sheetPr codeName="Sheet23">
    <tabColor rgb="FF00B050"/>
    <outlinePr summaryBelow="1" summaryRight="1"/>
    <pageSetUpPr/>
  </sheetPr>
  <dimension ref="A1:N68"/>
  <sheetViews>
    <sheetView workbookViewId="0">
      <pane ySplit="1" topLeftCell="A2" activePane="bottomLeft" state="frozen"/>
      <selection pane="bottomLeft" activeCell="A2" sqref="A2"/>
      <selection activeCell="D12" sqref="D12"/>
    </sheetView>
  </sheetViews>
  <sheetFormatPr baseColWidth="8" defaultColWidth="8.85546875" defaultRowHeight="15"/>
  <cols>
    <col width="13" customWidth="1" style="1" min="1" max="1"/>
    <col width="24.28515625" customWidth="1" style="1" min="2" max="2"/>
    <col width="65.7109375" bestFit="1" customWidth="1" style="1" min="3" max="3"/>
    <col width="14.42578125" customWidth="1" style="23" min="4" max="4"/>
    <col width="14" customWidth="1" style="23" min="5" max="6"/>
    <col width="8.8554687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49" customWidth="1" style="29"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CSEPC110</t>
        </is>
      </c>
      <c r="B2" s="37" t="inlineStr">
        <is>
          <t>New Student Added</t>
        </is>
      </c>
      <c r="C2" s="37" t="inlineStr">
        <is>
          <t>New Student Added</t>
        </is>
      </c>
      <c r="D2" s="38" t="n">
        <v>0</v>
      </c>
      <c r="E2" s="38" t="n">
        <v>2</v>
      </c>
      <c r="F2" s="38" t="n"/>
      <c r="G2" s="39" t="n"/>
      <c r="H2" s="38" t="inlineStr">
        <is>
          <t>y</t>
        </is>
      </c>
      <c r="I2" s="40">
        <f>DATE(YEAR(Setup!$C$4),MONTH(Setup!$C$4),DAY(Setup!$C$4)+((D2-1)*7)+(E2-WEEKDAY(DATE(YEAR(Setup!$C$4),MONTH(Setup!$C$4),DAY(Setup!$C$4)),1)))</f>
        <v/>
      </c>
      <c r="J2" s="40">
        <f>I2+3</f>
        <v/>
      </c>
      <c r="K2" s="40">
        <f>(I2 + (7 - WEEKDAY(I2,1))) + 1</f>
        <v/>
      </c>
      <c r="L2" s="38" t="n"/>
      <c r="M2" s="41" t="inlineStr">
        <is>
          <t>New Student Added</t>
        </is>
      </c>
      <c r="N2" s="37" t="inlineStr">
        <is>
          <t>Send a message to new students to welcome them to class and help them submit any assignments they missed.</t>
        </is>
      </c>
    </row>
    <row r="3">
      <c r="A3" s="1" t="inlineStr">
        <is>
          <t>CSEPC110</t>
        </is>
      </c>
      <c r="B3" s="1" t="inlineStr">
        <is>
          <t>Quiz Question</t>
        </is>
      </c>
      <c r="C3" s="1" t="inlineStr">
        <is>
          <t>W01 Quiz: Course Expectations: Question: Laptop Answer: No</t>
        </is>
      </c>
      <c r="D3" s="23" t="n">
        <v>1</v>
      </c>
      <c r="E3" s="23" t="n">
        <v>2</v>
      </c>
      <c r="H3" s="23" t="inlineStr">
        <is>
          <t>y</t>
        </is>
      </c>
      <c r="I3" s="40">
        <f>DATE(YEAR(Setup!$C$4),MONTH(Setup!$C$4),DAY(Setup!$C$4)+((D3-1)*7)+(E3-WEEKDAY(DATE(YEAR(Setup!$C$4),MONTH(Setup!$C$4),DAY(Setup!$C$4)),1)))</f>
        <v/>
      </c>
      <c r="J3" s="40">
        <f>I3+3</f>
        <v/>
      </c>
      <c r="K3" s="40">
        <f>(I3 + (7 - WEEKDAY(I3,1))) + 1</f>
        <v/>
      </c>
      <c r="L3" s="23" t="n">
        <v>0</v>
      </c>
      <c r="M3" s="1" t="inlineStr">
        <is>
          <t>No access to a computer</t>
        </is>
      </c>
      <c r="N3" s="1" t="inlineStr">
        <is>
          <t>Send a message to each student letting them know that they cannot be successful in this course without a computer. Suggest they drop the course and take it when they have access to a computer. (See Teaching notes for additional information)</t>
        </is>
      </c>
    </row>
    <row r="4">
      <c r="A4" s="1" t="inlineStr">
        <is>
          <t>CSEPC110</t>
        </is>
      </c>
      <c r="B4" s="37" t="inlineStr">
        <is>
          <t>Scheduled - Not Logged In</t>
        </is>
      </c>
      <c r="C4" s="37" t="inlineStr">
        <is>
          <t>Not Logged into Canvas</t>
        </is>
      </c>
      <c r="D4" s="38" t="n">
        <v>1</v>
      </c>
      <c r="E4" s="38" t="n">
        <v>4</v>
      </c>
      <c r="F4" s="38" t="n"/>
      <c r="G4" s="39" t="n"/>
      <c r="H4" s="38" t="inlineStr">
        <is>
          <t>y</t>
        </is>
      </c>
      <c r="I4" s="40">
        <f>DATE(YEAR(Setup!$C$4),MONTH(Setup!$C$4),DAY(Setup!$C$4)+((D4-1)*7)+(E4-WEEKDAY(DATE(YEAR(Setup!$C$4),MONTH(Setup!$C$4),DAY(Setup!$C$4)),1)))</f>
        <v/>
      </c>
      <c r="J4" s="40">
        <f>I4+3</f>
        <v/>
      </c>
      <c r="K4" s="40">
        <f>(I4 + (7 - WEEKDAY(I4,1))) + 1</f>
        <v/>
      </c>
      <c r="L4" s="38" t="n"/>
      <c r="M4" s="41" t="inlineStr">
        <is>
          <t>Not Logged Into Canvas</t>
        </is>
      </c>
      <c r="N4" s="37" t="inlineStr">
        <is>
          <t>Send a message (outside of Canvas) to students who have not logged into Canvas encouraging them to log in before Monday of Week 2.</t>
        </is>
      </c>
    </row>
    <row r="5">
      <c r="A5" s="1" t="inlineStr">
        <is>
          <t>CSEPC110</t>
        </is>
      </c>
      <c r="B5" s="37" t="inlineStr">
        <is>
          <t>Missing Assignment</t>
        </is>
      </c>
      <c r="C5" s="37" t="inlineStr">
        <is>
          <t>W01 Project: Clever Stories</t>
        </is>
      </c>
      <c r="D5" s="38" t="n">
        <v>2</v>
      </c>
      <c r="E5" s="38" t="n">
        <v>1</v>
      </c>
      <c r="F5" s="38" t="n"/>
      <c r="G5" s="39" t="n"/>
      <c r="H5" s="38" t="inlineStr">
        <is>
          <t>y</t>
        </is>
      </c>
      <c r="I5" s="40">
        <f>DATE(YEAR(Setup!$C$4),MONTH(Setup!$C$4),DAY(Setup!$C$4)+((D5-1)*7)+(E5-WEEKDAY(DATE(YEAR(Setup!$C$4),MONTH(Setup!$C$4),DAY(Setup!$C$4)),1)))</f>
        <v/>
      </c>
      <c r="J5" s="40">
        <f>I5+3</f>
        <v/>
      </c>
      <c r="K5" s="40">
        <f>(I5 + (7 - WEEKDAY(I5,1))) + 1</f>
        <v/>
      </c>
      <c r="L5" s="38" t="n"/>
      <c r="M5" s="41" t="inlineStr">
        <is>
          <t>Missing W01 Project: Clever Stories</t>
        </is>
      </c>
      <c r="N5" s="37" t="inlineStr">
        <is>
          <t>Missing  W01 Project: Clever Stories. Send a message to check in with this student and encourage timely submission of the missing assignment</t>
        </is>
      </c>
    </row>
    <row r="6">
      <c r="A6" s="1" t="inlineStr">
        <is>
          <t>CSEPC110</t>
        </is>
      </c>
      <c r="B6" s="1" t="inlineStr">
        <is>
          <t>Quiz Question</t>
        </is>
      </c>
      <c r="C6" s="1" t="inlineStr">
        <is>
          <t>W01 Reflection: NeedHelp Answer: Yes</t>
        </is>
      </c>
      <c r="D6" s="23" t="n">
        <v>2</v>
      </c>
      <c r="E6" s="23" t="n">
        <v>2</v>
      </c>
      <c r="H6" s="23" t="inlineStr">
        <is>
          <t>y</t>
        </is>
      </c>
      <c r="I6" s="40">
        <f>DATE(YEAR(Setup!$C$4),MONTH(Setup!$C$4),DAY(Setup!$C$4)+((D6-1)*7)+(E6-WEEKDAY(DATE(YEAR(Setup!$C$4),MONTH(Setup!$C$4),DAY(Setup!$C$4)),1)))</f>
        <v/>
      </c>
      <c r="J6" s="40">
        <f>I6+3</f>
        <v/>
      </c>
      <c r="K6" s="40">
        <f>(I6 + (7 - WEEKDAY(I6,1))) + 1</f>
        <v/>
      </c>
      <c r="L6" s="23" t="n">
        <v>0</v>
      </c>
      <c r="M6" s="1" t="inlineStr">
        <is>
          <t>Response to W01 Reflection - Student responded they are overwhelmed.</t>
        </is>
      </c>
      <c r="N6" s="1" t="inlineStr">
        <is>
          <t>Student responded feeling overwhelmed to W01 Reflection. Reach out to student to see how you can help.</t>
        </is>
      </c>
    </row>
    <row r="7">
      <c r="A7" s="1" t="inlineStr">
        <is>
          <t>CSEPC110</t>
        </is>
      </c>
      <c r="B7" s="37" t="inlineStr">
        <is>
          <t>Grader-Issued 0</t>
        </is>
      </c>
      <c r="C7" s="37" t="inlineStr">
        <is>
          <t>W01 Project: Clever Stories</t>
        </is>
      </c>
      <c r="D7" s="38" t="n">
        <v>2</v>
      </c>
      <c r="E7" s="38" t="n">
        <v>5</v>
      </c>
      <c r="F7" s="38" t="n"/>
      <c r="G7" s="39" t="n"/>
      <c r="H7" s="38" t="inlineStr">
        <is>
          <t>y</t>
        </is>
      </c>
      <c r="I7" s="40">
        <f>DATE(YEAR(Setup!$C$4),MONTH(Setup!$C$4),DAY(Setup!$C$4)+((D7-1)*7)+(E7-WEEKDAY(DATE(YEAR(Setup!$C$4),MONTH(Setup!$C$4),DAY(Setup!$C$4)),1)))</f>
        <v/>
      </c>
      <c r="J7" s="40">
        <f>I7+3</f>
        <v/>
      </c>
      <c r="K7" s="40">
        <f>(I7 + (7 - WEEKDAY(I7,1))) + 1</f>
        <v/>
      </c>
      <c r="L7" s="38" t="n"/>
      <c r="M7" s="37" t="inlineStr">
        <is>
          <t>Grader Issued 0: W01 Project</t>
        </is>
      </c>
      <c r="N7" s="37" t="inlineStr">
        <is>
          <t>This student received a grader-issued “0” on the W01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8">
      <c r="A8" s="1" t="inlineStr">
        <is>
          <t>CSEPC110</t>
        </is>
      </c>
      <c r="B8" s="37" t="inlineStr">
        <is>
          <t>High Performance</t>
        </is>
      </c>
      <c r="C8" s="37" t="inlineStr">
        <is>
          <t>W01 Project: Clever Stories</t>
        </is>
      </c>
      <c r="D8" s="38" t="n">
        <v>2</v>
      </c>
      <c r="E8" s="38" t="n">
        <v>5</v>
      </c>
      <c r="F8" s="38" t="n">
        <v>100</v>
      </c>
      <c r="G8" s="39" t="n">
        <v>0.8</v>
      </c>
      <c r="H8" s="38" t="inlineStr">
        <is>
          <t>y</t>
        </is>
      </c>
      <c r="I8" s="40">
        <f>DATE(YEAR(Setup!$C$4),MONTH(Setup!$C$4),DAY(Setup!$C$4)+((D8-1)*7)+(E8-WEEKDAY(DATE(YEAR(Setup!$C$4),MONTH(Setup!$C$4),DAY(Setup!$C$4)),1)))</f>
        <v/>
      </c>
      <c r="J8" s="40">
        <f>I8+3</f>
        <v/>
      </c>
      <c r="K8" s="40">
        <f>(I8 + (7 - WEEKDAY(I8,1))) + 1</f>
        <v/>
      </c>
      <c r="L8" s="38">
        <f>F8*G8</f>
        <v/>
      </c>
      <c r="M8" s="41" t="inlineStr">
        <is>
          <t>High-Performance: W01 Project</t>
        </is>
      </c>
      <c r="N8" s="37" t="inlineStr">
        <is>
          <t>This student scored 80% or higher on the W01 Project: Clever Stories.  Send a message of praise and encouragement for effort and good performance on this assignment.</t>
        </is>
      </c>
    </row>
    <row r="9">
      <c r="A9" s="1" t="inlineStr">
        <is>
          <t>CSEPC110</t>
        </is>
      </c>
      <c r="B9" s="37" t="inlineStr">
        <is>
          <t>Low Performance</t>
        </is>
      </c>
      <c r="C9" s="37" t="inlineStr">
        <is>
          <t>W01 Project: Clever Stories</t>
        </is>
      </c>
      <c r="D9" s="38" t="n">
        <v>2</v>
      </c>
      <c r="E9" s="38" t="n">
        <v>5</v>
      </c>
      <c r="F9" s="38" t="n">
        <v>100</v>
      </c>
      <c r="G9" s="39" t="n">
        <v>0.8</v>
      </c>
      <c r="H9" s="38" t="inlineStr">
        <is>
          <t>y</t>
        </is>
      </c>
      <c r="I9" s="40">
        <f>DATE(YEAR(Setup!$C$4),MONTH(Setup!$C$4),DAY(Setup!$C$4)+((D9-1)*7)+(E9-WEEKDAY(DATE(YEAR(Setup!$C$4),MONTH(Setup!$C$4),DAY(Setup!$C$4)),1)))</f>
        <v/>
      </c>
      <c r="J9" s="40">
        <f>I9+3</f>
        <v/>
      </c>
      <c r="K9" s="40">
        <f>(I9 + (7 - WEEKDAY(I9,1))) + 1</f>
        <v/>
      </c>
      <c r="L9" s="38">
        <f>F9*G9</f>
        <v/>
      </c>
      <c r="M9" s="41" t="inlineStr">
        <is>
          <t>Outcomes Not Met: W01 Project</t>
        </is>
      </c>
      <c r="N9" s="37" t="inlineStr">
        <is>
          <t xml:space="preserve">This student scored less than 80% on the W01 Project: Clever Stories. Send a message to this student offering some form of help so he/she can be more successful on this assignment and resubmit. </t>
        </is>
      </c>
    </row>
    <row r="10">
      <c r="A10" s="1" t="inlineStr">
        <is>
          <t>CSEPC110</t>
        </is>
      </c>
      <c r="B10" s="37" t="inlineStr">
        <is>
          <t>Missing Assignment</t>
        </is>
      </c>
      <c r="C10" s="37" t="inlineStr">
        <is>
          <t>W02 Project: Meal Price Calculator</t>
        </is>
      </c>
      <c r="D10" s="38" t="n">
        <v>3</v>
      </c>
      <c r="E10" s="38" t="n">
        <v>1</v>
      </c>
      <c r="F10" s="38" t="n"/>
      <c r="G10" s="39" t="n"/>
      <c r="H10" s="38" t="inlineStr">
        <is>
          <t>y</t>
        </is>
      </c>
      <c r="I10" s="40">
        <f>DATE(YEAR(Setup!$C$4),MONTH(Setup!$C$4),DAY(Setup!$C$4)+((D10-1)*7)+(E10-WEEKDAY(DATE(YEAR(Setup!$C$4),MONTH(Setup!$C$4),DAY(Setup!$C$4)),1)))</f>
        <v/>
      </c>
      <c r="J10" s="40">
        <f>I10+3</f>
        <v/>
      </c>
      <c r="K10" s="40">
        <f>(I10 + (7 - WEEKDAY(I10,1))) + 1</f>
        <v/>
      </c>
      <c r="L10" s="38" t="n"/>
      <c r="M10" s="41" t="inlineStr">
        <is>
          <t>Missing W02 Project: Meal Price Calculator</t>
        </is>
      </c>
      <c r="N10" s="37" t="inlineStr">
        <is>
          <t>Missing  W02 Project: Meal Price Calculator. Send a message to check in with this student and encourage timely submission of the missing assignment</t>
        </is>
      </c>
    </row>
    <row r="11">
      <c r="A11" s="1" t="inlineStr">
        <is>
          <t>CSEPC110</t>
        </is>
      </c>
      <c r="B11" s="1" t="inlineStr">
        <is>
          <t>Quiz Question</t>
        </is>
      </c>
      <c r="C11" s="1" t="inlineStr">
        <is>
          <t>W02 Reflection: NeedHelp Answer: Yes</t>
        </is>
      </c>
      <c r="D11" s="23" t="n">
        <v>3</v>
      </c>
      <c r="E11" s="23" t="n">
        <v>2</v>
      </c>
      <c r="H11" s="23" t="inlineStr">
        <is>
          <t>y</t>
        </is>
      </c>
      <c r="I11" s="40">
        <f>DATE(YEAR(Setup!$C$4),MONTH(Setup!$C$4),DAY(Setup!$C$4)+((D11-1)*7)+(E11-WEEKDAY(DATE(YEAR(Setup!$C$4),MONTH(Setup!$C$4),DAY(Setup!$C$4)),1)))</f>
        <v/>
      </c>
      <c r="J11" s="40">
        <f>I11+3</f>
        <v/>
      </c>
      <c r="K11" s="40">
        <f>(I11 + (7 - WEEKDAY(I11,1))) + 1</f>
        <v/>
      </c>
      <c r="L11" s="23" t="n">
        <v>0</v>
      </c>
      <c r="M11" s="1" t="inlineStr">
        <is>
          <t>Response to W02 Reflection - Student responded they are overwhelmed.</t>
        </is>
      </c>
      <c r="N11" s="1" t="inlineStr">
        <is>
          <t>Student responded feeling overwhelmed to W02 Reflection. Reach out to student to see how you can help.</t>
        </is>
      </c>
    </row>
    <row r="12">
      <c r="A12" s="1" t="inlineStr">
        <is>
          <t>CSEPC110</t>
        </is>
      </c>
      <c r="B12" s="37" t="inlineStr">
        <is>
          <t>Grader-Issued 0</t>
        </is>
      </c>
      <c r="C12" s="37" t="inlineStr">
        <is>
          <t>W02 Project: Meal Price Calculator</t>
        </is>
      </c>
      <c r="D12" s="38" t="n">
        <v>3</v>
      </c>
      <c r="E12" s="38" t="n">
        <v>5</v>
      </c>
      <c r="F12" s="38" t="n"/>
      <c r="G12" s="39" t="n"/>
      <c r="H12" s="38" t="inlineStr">
        <is>
          <t>y</t>
        </is>
      </c>
      <c r="I12" s="40">
        <f>DATE(YEAR(Setup!$C$4),MONTH(Setup!$C$4),DAY(Setup!$C$4)+((D12-1)*7)+(E12-WEEKDAY(DATE(YEAR(Setup!$C$4),MONTH(Setup!$C$4),DAY(Setup!$C$4)),1)))</f>
        <v/>
      </c>
      <c r="J12" s="40">
        <f>I12+3</f>
        <v/>
      </c>
      <c r="K12" s="40">
        <f>(I12 + (7 - WEEKDAY(I12,1))) + 1</f>
        <v/>
      </c>
      <c r="L12" s="38" t="n"/>
      <c r="M12" s="37" t="inlineStr">
        <is>
          <t>Grader Issued 0: W02 Project</t>
        </is>
      </c>
      <c r="N12" s="37" t="inlineStr">
        <is>
          <t>This student received a grader-issued “0” on the W02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13">
      <c r="A13" s="1" t="inlineStr">
        <is>
          <t>CSEPC110</t>
        </is>
      </c>
      <c r="B13" s="37" t="inlineStr">
        <is>
          <t>High Performance</t>
        </is>
      </c>
      <c r="C13" s="37" t="inlineStr">
        <is>
          <t>W02 Project: Meal Price Calculator</t>
        </is>
      </c>
      <c r="D13" s="38" t="n">
        <v>3</v>
      </c>
      <c r="E13" s="38" t="n">
        <v>5</v>
      </c>
      <c r="F13" s="38" t="n">
        <v>100</v>
      </c>
      <c r="G13" s="39" t="n">
        <v>0.8</v>
      </c>
      <c r="H13" s="38" t="inlineStr">
        <is>
          <t>y</t>
        </is>
      </c>
      <c r="I13" s="40">
        <f>DATE(YEAR(Setup!$C$4),MONTH(Setup!$C$4),DAY(Setup!$C$4)+((D13-1)*7)+(E13-WEEKDAY(DATE(YEAR(Setup!$C$4),MONTH(Setup!$C$4),DAY(Setup!$C$4)),1)))</f>
        <v/>
      </c>
      <c r="J13" s="40">
        <f>I13+3</f>
        <v/>
      </c>
      <c r="K13" s="40">
        <f>(I13 + (7 - WEEKDAY(I13,1))) + 1</f>
        <v/>
      </c>
      <c r="L13" s="38">
        <f>F13*G13</f>
        <v/>
      </c>
      <c r="M13" s="41" t="inlineStr">
        <is>
          <t>High-Performance: W02 Project</t>
        </is>
      </c>
      <c r="N13" s="37" t="inlineStr">
        <is>
          <t>This student scored 80% or higher on the W02 Project: Meat Price Calculator.  Send a message of praise and encouragement for effort and good performance on this assignment.</t>
        </is>
      </c>
    </row>
    <row r="14">
      <c r="A14" s="1" t="inlineStr">
        <is>
          <t>CSEPC110</t>
        </is>
      </c>
      <c r="B14" s="37" t="inlineStr">
        <is>
          <t>Low Performance</t>
        </is>
      </c>
      <c r="C14" s="37" t="inlineStr">
        <is>
          <t>W02 Project: Meal Price Calculator</t>
        </is>
      </c>
      <c r="D14" s="38" t="n">
        <v>3</v>
      </c>
      <c r="E14" s="38" t="n">
        <v>5</v>
      </c>
      <c r="F14" s="38" t="n">
        <v>100</v>
      </c>
      <c r="G14" s="39" t="n">
        <v>0.8</v>
      </c>
      <c r="H14" s="38" t="inlineStr">
        <is>
          <t>y</t>
        </is>
      </c>
      <c r="I14" s="40">
        <f>DATE(YEAR(Setup!$C$4),MONTH(Setup!$C$4),DAY(Setup!$C$4)+((D14-1)*7)+(E14-WEEKDAY(DATE(YEAR(Setup!$C$4),MONTH(Setup!$C$4),DAY(Setup!$C$4)),1)))</f>
        <v/>
      </c>
      <c r="J14" s="40">
        <f>I14+3</f>
        <v/>
      </c>
      <c r="K14" s="40">
        <f>(I14 + (7 - WEEKDAY(I14,1))) + 1</f>
        <v/>
      </c>
      <c r="L14" s="38">
        <f>F14*G14</f>
        <v/>
      </c>
      <c r="M14" s="41" t="inlineStr">
        <is>
          <t>Outcomes Not Met: W02 Project</t>
        </is>
      </c>
      <c r="N14" s="37" t="inlineStr">
        <is>
          <t xml:space="preserve">This student scored less than 80% on the W02 Project: Meal Price Calculator. Send a message to this student offering some form of help so he/she can be more successful on this assignment and resubmit. </t>
        </is>
      </c>
    </row>
    <row r="15">
      <c r="A15" s="1" t="inlineStr">
        <is>
          <t>CSEPC110</t>
        </is>
      </c>
      <c r="B15" s="37" t="inlineStr">
        <is>
          <t>Missing Assignment</t>
        </is>
      </c>
      <c r="C15" s="37" t="inlineStr">
        <is>
          <t>W03 Project: Adventure Game</t>
        </is>
      </c>
      <c r="D15" s="38" t="n">
        <v>4</v>
      </c>
      <c r="E15" s="38" t="n">
        <v>1</v>
      </c>
      <c r="F15" s="38" t="n"/>
      <c r="G15" s="39" t="n"/>
      <c r="H15" s="38" t="inlineStr">
        <is>
          <t>y</t>
        </is>
      </c>
      <c r="I15" s="40">
        <f>DATE(YEAR(Setup!$C$4),MONTH(Setup!$C$4),DAY(Setup!$C$4)+((D15-1)*7)+(E15-WEEKDAY(DATE(YEAR(Setup!$C$4),MONTH(Setup!$C$4),DAY(Setup!$C$4)),1)))</f>
        <v/>
      </c>
      <c r="J15" s="40">
        <f>I15+3</f>
        <v/>
      </c>
      <c r="K15" s="40">
        <f>(I15 + (7 - WEEKDAY(I15,1))) + 1</f>
        <v/>
      </c>
      <c r="L15" s="38" t="n"/>
      <c r="M15" s="41" t="inlineStr">
        <is>
          <t>Missing W03 Project: Adventure Game</t>
        </is>
      </c>
      <c r="N15" s="37" t="inlineStr">
        <is>
          <t>Missing  W03 Project: Adventure Game. Send a message to check in with this student and encourage timely submission of the missing assignment</t>
        </is>
      </c>
    </row>
    <row r="16" customFormat="1" s="64">
      <c r="A16" s="1" t="inlineStr">
        <is>
          <t>CSEPC110</t>
        </is>
      </c>
      <c r="B16" s="1" t="inlineStr">
        <is>
          <t>Quiz Question</t>
        </is>
      </c>
      <c r="C16" s="1" t="inlineStr">
        <is>
          <t>W03 Reflection: NeedHelp Answer: Yes</t>
        </is>
      </c>
      <c r="D16" s="23" t="n">
        <v>4</v>
      </c>
      <c r="E16" s="23" t="n">
        <v>2</v>
      </c>
      <c r="F16" s="23" t="n"/>
      <c r="G16" s="23" t="n"/>
      <c r="H16" s="23" t="inlineStr">
        <is>
          <t>y</t>
        </is>
      </c>
      <c r="I16" s="40">
        <f>DATE(YEAR(Setup!$C$4),MONTH(Setup!$C$4),DAY(Setup!$C$4)+((D16-1)*7)+(E16-WEEKDAY(DATE(YEAR(Setup!$C$4),MONTH(Setup!$C$4),DAY(Setup!$C$4)),1)))</f>
        <v/>
      </c>
      <c r="J16" s="40">
        <f>I16+3</f>
        <v/>
      </c>
      <c r="K16" s="40">
        <f>(I16 + (7 - WEEKDAY(I16,1))) + 1</f>
        <v/>
      </c>
      <c r="L16" s="23" t="n">
        <v>0</v>
      </c>
      <c r="M16" s="1" t="inlineStr">
        <is>
          <t>Response to W03 Reflection - Student responded they are overwhelmed.</t>
        </is>
      </c>
      <c r="N16" s="1" t="inlineStr">
        <is>
          <t>Student responded feeling overwhelmed to W03 Reflection. Reach out to student to see how you can help.</t>
        </is>
      </c>
    </row>
    <row r="17">
      <c r="A17" s="1" t="inlineStr">
        <is>
          <t>CSEPC110</t>
        </is>
      </c>
      <c r="B17" s="1" t="inlineStr">
        <is>
          <t>Scheduled - Low Current Grade</t>
        </is>
      </c>
      <c r="C17" s="1" t="inlineStr">
        <is>
          <t>Withdraw Deadline Reminder</t>
        </is>
      </c>
      <c r="D17" s="23" t="n">
        <v>4</v>
      </c>
      <c r="E17" s="23" t="n">
        <v>4</v>
      </c>
      <c r="H17" s="23" t="inlineStr">
        <is>
          <t>y</t>
        </is>
      </c>
      <c r="I17" s="40">
        <f>DATE(YEAR(Setup!$C$4),MONTH(Setup!$C$4),DAY(Setup!$C$4)+((D17-1)*7)+(E17-WEEKDAY(DATE(YEAR(Setup!$C$4),MONTH(Setup!$C$4),DAY(Setup!$C$4)),1)))</f>
        <v/>
      </c>
      <c r="J17" s="40">
        <f>I17+3</f>
        <v/>
      </c>
      <c r="K17" s="40">
        <f>(I17 + (7 - WEEKDAY(I17,1))) + 1</f>
        <v/>
      </c>
      <c r="L17" s="23" t="n">
        <v>0</v>
      </c>
      <c r="M17" s="1" t="inlineStr">
        <is>
          <t>Failing student. Withdraw Reminder</t>
        </is>
      </c>
      <c r="N17" s="1" t="inlineStr">
        <is>
          <t>Email students who are currently failing with little chance to catch up, reminding them of the withdraw deadline.</t>
        </is>
      </c>
    </row>
    <row r="18">
      <c r="A18" s="1" t="inlineStr">
        <is>
          <t>CSEPC110</t>
        </is>
      </c>
      <c r="B18" s="37" t="inlineStr">
        <is>
          <t>Grader-Issued 0</t>
        </is>
      </c>
      <c r="C18" s="37" t="inlineStr">
        <is>
          <t>W03 Project: Adventure Game</t>
        </is>
      </c>
      <c r="D18" s="38" t="n">
        <v>4</v>
      </c>
      <c r="E18" s="38" t="n">
        <v>5</v>
      </c>
      <c r="F18" s="38" t="n"/>
      <c r="G18" s="39" t="n"/>
      <c r="H18" s="38" t="inlineStr">
        <is>
          <t>y</t>
        </is>
      </c>
      <c r="I18" s="40">
        <f>DATE(YEAR(Setup!$C$4),MONTH(Setup!$C$4),DAY(Setup!$C$4)+((D18-1)*7)+(E18-WEEKDAY(DATE(YEAR(Setup!$C$4),MONTH(Setup!$C$4),DAY(Setup!$C$4)),1)))</f>
        <v/>
      </c>
      <c r="J18" s="40">
        <f>I18+3</f>
        <v/>
      </c>
      <c r="K18" s="40">
        <f>(I18 + (7 - WEEKDAY(I18,1))) + 1</f>
        <v/>
      </c>
      <c r="L18" s="38" t="n"/>
      <c r="M18" s="37" t="inlineStr">
        <is>
          <t>Grader Issued 0: W03 Project</t>
        </is>
      </c>
      <c r="N18" s="37" t="inlineStr">
        <is>
          <t>This student received a grader-issued “0” on the W03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19">
      <c r="A19" s="1" t="inlineStr">
        <is>
          <t>CSEPC110</t>
        </is>
      </c>
      <c r="B19" s="37" t="inlineStr">
        <is>
          <t>High Performance</t>
        </is>
      </c>
      <c r="C19" s="37" t="inlineStr">
        <is>
          <t>W03 Project: Adventure Game</t>
        </is>
      </c>
      <c r="D19" s="38" t="n">
        <v>4</v>
      </c>
      <c r="E19" s="38" t="n">
        <v>5</v>
      </c>
      <c r="F19" s="38" t="n">
        <v>100</v>
      </c>
      <c r="G19" s="39" t="n">
        <v>0.8</v>
      </c>
      <c r="H19" s="38" t="inlineStr">
        <is>
          <t>y</t>
        </is>
      </c>
      <c r="I19" s="40">
        <f>DATE(YEAR(Setup!$C$4),MONTH(Setup!$C$4),DAY(Setup!$C$4)+((D19-1)*7)+(E19-WEEKDAY(DATE(YEAR(Setup!$C$4),MONTH(Setup!$C$4),DAY(Setup!$C$4)),1)))</f>
        <v/>
      </c>
      <c r="J19" s="40">
        <f>I19+3</f>
        <v/>
      </c>
      <c r="K19" s="40">
        <f>(I19 + (7 - WEEKDAY(I19,1))) + 1</f>
        <v/>
      </c>
      <c r="L19" s="38">
        <f>F19*G19</f>
        <v/>
      </c>
      <c r="M19" s="41" t="inlineStr">
        <is>
          <t>High-Performance: W03 Project</t>
        </is>
      </c>
      <c r="N19" s="37" t="inlineStr">
        <is>
          <t>This student scored 80% or higher on the W03 Project: Adventure Game.  Send a message of praise and encouragement for effort and good performance on this assignment.</t>
        </is>
      </c>
    </row>
    <row r="20" ht="15.95" customHeight="1">
      <c r="A20" s="1" t="inlineStr">
        <is>
          <t>CSEPC110</t>
        </is>
      </c>
      <c r="B20" s="42" t="inlineStr">
        <is>
          <t>Low Performance</t>
        </is>
      </c>
      <c r="C20" s="37" t="inlineStr">
        <is>
          <t>W03 Project: Adventure Game</t>
        </is>
      </c>
      <c r="D20" s="38" t="n">
        <v>4</v>
      </c>
      <c r="E20" s="38" t="n">
        <v>5</v>
      </c>
      <c r="F20" s="38" t="n">
        <v>100</v>
      </c>
      <c r="G20" s="39" t="n">
        <v>0.8</v>
      </c>
      <c r="H20" s="38" t="inlineStr">
        <is>
          <t>y</t>
        </is>
      </c>
      <c r="I20" s="40">
        <f>DATE(YEAR(Setup!$C$4),MONTH(Setup!$C$4),DAY(Setup!$C$4)+((D20-1)*7)+(E20-WEEKDAY(DATE(YEAR(Setup!$C$4),MONTH(Setup!$C$4),DAY(Setup!$C$4)),1)))</f>
        <v/>
      </c>
      <c r="J20" s="40">
        <f>I20+3</f>
        <v/>
      </c>
      <c r="K20" s="40">
        <f>(I20 + (7 - WEEKDAY(I20,1))) + 1</f>
        <v/>
      </c>
      <c r="L20" s="38">
        <f>F20*G20</f>
        <v/>
      </c>
      <c r="M20" s="41" t="inlineStr">
        <is>
          <t>Outcomes Not Met: W03 Project</t>
        </is>
      </c>
      <c r="N20" s="37" t="inlineStr">
        <is>
          <t xml:space="preserve">This student scored less than 80% on the W03 Project: Adventure Game. Send a message to this student offering some form of help so he/she can be more successful on this assignment and resubmit. </t>
        </is>
      </c>
    </row>
    <row r="21">
      <c r="A21" s="1" t="inlineStr">
        <is>
          <t>CSEPC110</t>
        </is>
      </c>
      <c r="B21" s="37" t="inlineStr">
        <is>
          <t>Missing Assignment</t>
        </is>
      </c>
      <c r="C21" s="37" t="inlineStr">
        <is>
          <t>W04 Project: Word Puzzle</t>
        </is>
      </c>
      <c r="D21" s="38" t="n">
        <v>5</v>
      </c>
      <c r="E21" s="38" t="n">
        <v>1</v>
      </c>
      <c r="F21" s="38" t="n"/>
      <c r="G21" s="39" t="n"/>
      <c r="H21" s="38" t="inlineStr">
        <is>
          <t>y</t>
        </is>
      </c>
      <c r="I21" s="40">
        <f>DATE(YEAR(Setup!$C$4),MONTH(Setup!$C$4),DAY(Setup!$C$4)+((D21-1)*7)+(E21-WEEKDAY(DATE(YEAR(Setup!$C$4),MONTH(Setup!$C$4),DAY(Setup!$C$4)),1)))</f>
        <v/>
      </c>
      <c r="J21" s="40">
        <f>I21+3</f>
        <v/>
      </c>
      <c r="K21" s="40">
        <f>(I21 + (7 - WEEKDAY(I21,1))) + 1</f>
        <v/>
      </c>
      <c r="L21" s="38" t="n"/>
      <c r="M21" s="41" t="inlineStr">
        <is>
          <t>Missing W04 Project: Word Puzzle</t>
        </is>
      </c>
      <c r="N21" s="37" t="inlineStr">
        <is>
          <t>Missing  W04 Project: Word Puzzle. Send a message to check in with this student and encourage timely submission of the missing assignment</t>
        </is>
      </c>
    </row>
    <row r="22">
      <c r="A22" s="1" t="inlineStr">
        <is>
          <t>CSEPC110</t>
        </is>
      </c>
      <c r="B22" s="1" t="inlineStr">
        <is>
          <t>Quiz Question</t>
        </is>
      </c>
      <c r="C22" s="1" t="inlineStr">
        <is>
          <t>W04 Reflection: NeedHelp Answer: Yes</t>
        </is>
      </c>
      <c r="D22" s="23" t="n">
        <v>5</v>
      </c>
      <c r="E22" s="23" t="n">
        <v>2</v>
      </c>
      <c r="H22" s="23" t="inlineStr">
        <is>
          <t>y</t>
        </is>
      </c>
      <c r="I22" s="40">
        <f>DATE(YEAR(Setup!$C$4),MONTH(Setup!$C$4),DAY(Setup!$C$4)+((D22-1)*7)+(E22-WEEKDAY(DATE(YEAR(Setup!$C$4),MONTH(Setup!$C$4),DAY(Setup!$C$4)),1)))</f>
        <v/>
      </c>
      <c r="J22" s="40">
        <f>I22+3</f>
        <v/>
      </c>
      <c r="K22" s="40">
        <f>(I22 + (7 - WEEKDAY(I22,1))) + 1</f>
        <v/>
      </c>
      <c r="L22" s="23" t="n">
        <v>0</v>
      </c>
      <c r="M22" s="1" t="inlineStr">
        <is>
          <t>Response to W04 Reflection - Student responded they are overwhelmed.</t>
        </is>
      </c>
      <c r="N22" s="1" t="inlineStr">
        <is>
          <t>Student responded feeling overwhelmed to W04 Reflection. Reach out to student to see how you can help.</t>
        </is>
      </c>
    </row>
    <row r="23">
      <c r="A23" s="1" t="inlineStr">
        <is>
          <t>CSEPC110</t>
        </is>
      </c>
      <c r="B23" s="37" t="inlineStr">
        <is>
          <t>Grader-Issued 0</t>
        </is>
      </c>
      <c r="C23" s="37" t="inlineStr">
        <is>
          <t>W04 Project: Word Puzzle</t>
        </is>
      </c>
      <c r="D23" s="38" t="n">
        <v>5</v>
      </c>
      <c r="E23" s="38" t="n">
        <v>5</v>
      </c>
      <c r="F23" s="38" t="n"/>
      <c r="G23" s="39" t="n"/>
      <c r="H23" s="38" t="inlineStr">
        <is>
          <t>y</t>
        </is>
      </c>
      <c r="I23" s="40">
        <f>DATE(YEAR(Setup!$C$4),MONTH(Setup!$C$4),DAY(Setup!$C$4)+((D23-1)*7)+(E23-WEEKDAY(DATE(YEAR(Setup!$C$4),MONTH(Setup!$C$4),DAY(Setup!$C$4)),1)))</f>
        <v/>
      </c>
      <c r="J23" s="40">
        <f>I23+3</f>
        <v/>
      </c>
      <c r="K23" s="40">
        <f>(I23 + (7 - WEEKDAY(I23,1))) + 1</f>
        <v/>
      </c>
      <c r="L23" s="38" t="n"/>
      <c r="M23" s="37" t="inlineStr">
        <is>
          <t>Grader Issued 0: W04 Project</t>
        </is>
      </c>
      <c r="N23" s="37" t="inlineStr">
        <is>
          <t>This student received a grader-issued “0” on the W04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24">
      <c r="A24" s="1" t="inlineStr">
        <is>
          <t>CSEPC110</t>
        </is>
      </c>
      <c r="B24" s="37" t="inlineStr">
        <is>
          <t>High Performance</t>
        </is>
      </c>
      <c r="C24" s="37" t="inlineStr">
        <is>
          <t>W04 Project: Word Puzzle</t>
        </is>
      </c>
      <c r="D24" s="38" t="n">
        <v>5</v>
      </c>
      <c r="E24" s="38" t="n">
        <v>5</v>
      </c>
      <c r="F24" s="38" t="n">
        <v>100</v>
      </c>
      <c r="G24" s="39" t="n">
        <v>0.8</v>
      </c>
      <c r="H24" s="38" t="inlineStr">
        <is>
          <t>y</t>
        </is>
      </c>
      <c r="I24" s="40">
        <f>DATE(YEAR(Setup!$C$4),MONTH(Setup!$C$4),DAY(Setup!$C$4)+((D24-1)*7)+(E24-WEEKDAY(DATE(YEAR(Setup!$C$4),MONTH(Setup!$C$4),DAY(Setup!$C$4)),1)))</f>
        <v/>
      </c>
      <c r="J24" s="40">
        <f>I24+3</f>
        <v/>
      </c>
      <c r="K24" s="40">
        <f>(I24 + (7 - WEEKDAY(I24,1))) + 1</f>
        <v/>
      </c>
      <c r="L24" s="38">
        <f>F24*G24</f>
        <v/>
      </c>
      <c r="M24" s="41" t="inlineStr">
        <is>
          <t>High-Performance: W04 Project</t>
        </is>
      </c>
      <c r="N24" s="37" t="inlineStr">
        <is>
          <t>This student scored 80% or higher on the W04 Project: Word Puzzle.  Send a message of praise and encouragement for effort and good performance on this assignment.</t>
        </is>
      </c>
    </row>
    <row r="25">
      <c r="A25" s="1" t="inlineStr">
        <is>
          <t>CSEPC110</t>
        </is>
      </c>
      <c r="B25" s="37" t="inlineStr">
        <is>
          <t>Low Performance</t>
        </is>
      </c>
      <c r="C25" s="37" t="inlineStr">
        <is>
          <t>W04 Project: Word Puzzle</t>
        </is>
      </c>
      <c r="D25" s="38" t="n">
        <v>5</v>
      </c>
      <c r="E25" s="38" t="n">
        <v>5</v>
      </c>
      <c r="F25" s="38" t="n">
        <v>100</v>
      </c>
      <c r="G25" s="39" t="n">
        <v>0.8</v>
      </c>
      <c r="H25" s="38" t="inlineStr">
        <is>
          <t>y</t>
        </is>
      </c>
      <c r="I25" s="40">
        <f>DATE(YEAR(Setup!$C$4),MONTH(Setup!$C$4),DAY(Setup!$C$4)+((D25-1)*7)+(E25-WEEKDAY(DATE(YEAR(Setup!$C$4),MONTH(Setup!$C$4),DAY(Setup!$C$4)),1)))</f>
        <v/>
      </c>
      <c r="J25" s="40">
        <f>I25+3</f>
        <v/>
      </c>
      <c r="K25" s="40">
        <f>(I25 + (7 - WEEKDAY(I25,1))) + 1</f>
        <v/>
      </c>
      <c r="L25" s="38">
        <f>F25*G25</f>
        <v/>
      </c>
      <c r="M25" s="41" t="inlineStr">
        <is>
          <t>Outcomes Not Met: W04 Project</t>
        </is>
      </c>
      <c r="N25" s="37" t="inlineStr">
        <is>
          <t xml:space="preserve">This student scored less than 80% on the W04 Project: Word Puzzle. Send a message to this student offering some form of help so he/she can be more successful on this assignment and resubmit. </t>
        </is>
      </c>
    </row>
    <row r="26">
      <c r="A26" s="1" t="inlineStr">
        <is>
          <t>CSEPC110</t>
        </is>
      </c>
      <c r="B26" s="37" t="inlineStr">
        <is>
          <t>Missing Assignment</t>
        </is>
      </c>
      <c r="C26" s="37" t="inlineStr">
        <is>
          <t>W05 Project: Shopping Cart</t>
        </is>
      </c>
      <c r="D26" s="38" t="n">
        <v>6</v>
      </c>
      <c r="E26" s="38" t="n">
        <v>1</v>
      </c>
      <c r="F26" s="38" t="n"/>
      <c r="G26" s="39" t="n"/>
      <c r="H26" s="38" t="inlineStr">
        <is>
          <t>y</t>
        </is>
      </c>
      <c r="I26" s="40">
        <f>DATE(YEAR(Setup!$C$4),MONTH(Setup!$C$4),DAY(Setup!$C$4)+((D26-1)*7)+(E26-WEEKDAY(DATE(YEAR(Setup!$C$4),MONTH(Setup!$C$4),DAY(Setup!$C$4)),1)))</f>
        <v/>
      </c>
      <c r="J26" s="40">
        <f>I26+3</f>
        <v/>
      </c>
      <c r="K26" s="40">
        <f>(I26 + (7 - WEEKDAY(I26,1))) + 1</f>
        <v/>
      </c>
      <c r="L26" s="38" t="n"/>
      <c r="M26" s="41" t="inlineStr">
        <is>
          <t>Missing W05 Project: Shopping Cart</t>
        </is>
      </c>
      <c r="N26" s="37" t="inlineStr">
        <is>
          <t>Missing  W05 Project: Shopping Cart. Send a message to check in with this student and encourage timely submission of the missing assignment</t>
        </is>
      </c>
    </row>
    <row r="27">
      <c r="A27" s="1" t="inlineStr">
        <is>
          <t>CSEPC110</t>
        </is>
      </c>
      <c r="B27" s="1" t="inlineStr">
        <is>
          <t>Quiz Question</t>
        </is>
      </c>
      <c r="C27" s="1" t="inlineStr">
        <is>
          <t>W05 Reflection: NeedHelp Answer: Yes</t>
        </is>
      </c>
      <c r="D27" s="23" t="n">
        <v>6</v>
      </c>
      <c r="E27" s="23" t="n">
        <v>2</v>
      </c>
      <c r="H27" s="23" t="inlineStr">
        <is>
          <t>y</t>
        </is>
      </c>
      <c r="I27" s="40">
        <f>DATE(YEAR(Setup!$C$4),MONTH(Setup!$C$4),DAY(Setup!$C$4)+((D27-1)*7)+(E27-WEEKDAY(DATE(YEAR(Setup!$C$4),MONTH(Setup!$C$4),DAY(Setup!$C$4)),1)))</f>
        <v/>
      </c>
      <c r="J27" s="40">
        <f>I27+3</f>
        <v/>
      </c>
      <c r="K27" s="40">
        <f>(I27 + (7 - WEEKDAY(I27,1))) + 1</f>
        <v/>
      </c>
      <c r="L27" s="23" t="n">
        <v>0</v>
      </c>
      <c r="M27" s="1" t="inlineStr">
        <is>
          <t>Response to W05 Reflection - Student responded they are overwhelmed.</t>
        </is>
      </c>
      <c r="N27" s="1" t="inlineStr">
        <is>
          <t>Student responded feeling overwhelmed to W05 Reflection. Reach out to student to see how you can help.</t>
        </is>
      </c>
    </row>
    <row r="28">
      <c r="A28" s="1" t="inlineStr">
        <is>
          <t>CSEPC110</t>
        </is>
      </c>
      <c r="B28" s="37" t="inlineStr">
        <is>
          <t>Grader-Issued 0</t>
        </is>
      </c>
      <c r="C28" s="37" t="inlineStr">
        <is>
          <t>W05 Project: Shopping Cart</t>
        </is>
      </c>
      <c r="D28" s="38" t="n">
        <v>6</v>
      </c>
      <c r="E28" s="38" t="n">
        <v>5</v>
      </c>
      <c r="F28" s="38" t="n"/>
      <c r="G28" s="39" t="n"/>
      <c r="H28" s="38" t="inlineStr">
        <is>
          <t>y</t>
        </is>
      </c>
      <c r="I28" s="40">
        <f>DATE(YEAR(Setup!$C$4),MONTH(Setup!$C$4),DAY(Setup!$C$4)+((D28-1)*7)+(E28-WEEKDAY(DATE(YEAR(Setup!$C$4),MONTH(Setup!$C$4),DAY(Setup!$C$4)),1)))</f>
        <v/>
      </c>
      <c r="J28" s="40">
        <f>I28+3</f>
        <v/>
      </c>
      <c r="K28" s="40">
        <f>(I28 + (7 - WEEKDAY(I28,1))) + 1</f>
        <v/>
      </c>
      <c r="L28" s="38" t="n"/>
      <c r="M28" s="37" t="inlineStr">
        <is>
          <t>Grader Issued 0: W05 Project</t>
        </is>
      </c>
      <c r="N28" s="37" t="inlineStr">
        <is>
          <t>This student received a grader-issued “0” on the W05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29">
      <c r="A29" s="1" t="inlineStr">
        <is>
          <t>CSEPC110</t>
        </is>
      </c>
      <c r="B29" s="37" t="inlineStr">
        <is>
          <t>High Performance</t>
        </is>
      </c>
      <c r="C29" s="37" t="inlineStr">
        <is>
          <t>W05 Project: Shopping Cart</t>
        </is>
      </c>
      <c r="D29" s="38" t="n">
        <v>6</v>
      </c>
      <c r="E29" s="38" t="n">
        <v>5</v>
      </c>
      <c r="F29" s="38" t="n">
        <v>100</v>
      </c>
      <c r="G29" s="39" t="n">
        <v>0.8</v>
      </c>
      <c r="H29" s="38" t="inlineStr">
        <is>
          <t>y</t>
        </is>
      </c>
      <c r="I29" s="40">
        <f>DATE(YEAR(Setup!$C$4),MONTH(Setup!$C$4),DAY(Setup!$C$4)+((D29-1)*7)+(E29-WEEKDAY(DATE(YEAR(Setup!$C$4),MONTH(Setup!$C$4),DAY(Setup!$C$4)),1)))</f>
        <v/>
      </c>
      <c r="J29" s="40">
        <f>I29+3</f>
        <v/>
      </c>
      <c r="K29" s="40">
        <f>(I29 + (7 - WEEKDAY(I29,1))) + 1</f>
        <v/>
      </c>
      <c r="L29" s="38">
        <f>F29*G29</f>
        <v/>
      </c>
      <c r="M29" s="41" t="inlineStr">
        <is>
          <t>High-Performance: W05 Project</t>
        </is>
      </c>
      <c r="N29" s="37" t="inlineStr">
        <is>
          <t>This student scored 80% or higher on the W05 Project: Shopping Cart.  Send a message of praise and encouragement for effort and good performance on this assignment.</t>
        </is>
      </c>
    </row>
    <row r="30">
      <c r="A30" s="1" t="inlineStr">
        <is>
          <t>CSEPC110</t>
        </is>
      </c>
      <c r="B30" s="37" t="inlineStr">
        <is>
          <t>Low Performance</t>
        </is>
      </c>
      <c r="C30" s="37" t="inlineStr">
        <is>
          <t>W05 Project: Shopping Cart</t>
        </is>
      </c>
      <c r="D30" s="38" t="n">
        <v>6</v>
      </c>
      <c r="E30" s="38" t="n">
        <v>5</v>
      </c>
      <c r="F30" s="38" t="n">
        <v>100</v>
      </c>
      <c r="G30" s="39" t="n">
        <v>0.8</v>
      </c>
      <c r="H30" s="38" t="inlineStr">
        <is>
          <t>y</t>
        </is>
      </c>
      <c r="I30" s="40">
        <f>DATE(YEAR(Setup!$C$4),MONTH(Setup!$C$4),DAY(Setup!$C$4)+((D30-1)*7)+(E30-WEEKDAY(DATE(YEAR(Setup!$C$4),MONTH(Setup!$C$4),DAY(Setup!$C$4)),1)))</f>
        <v/>
      </c>
      <c r="J30" s="40">
        <f>I30+3</f>
        <v/>
      </c>
      <c r="K30" s="40">
        <f>(I30 + (7 - WEEKDAY(I30,1))) + 1</f>
        <v/>
      </c>
      <c r="L30" s="38">
        <f>F30*G30</f>
        <v/>
      </c>
      <c r="M30" s="41" t="inlineStr">
        <is>
          <t>Outcomes Not Met: W05 Project</t>
        </is>
      </c>
      <c r="N30" s="37" t="inlineStr">
        <is>
          <t xml:space="preserve">This student scored less than 80% on the W05 Project: Shopping Cart. Send a message to this student offering some form of help so he/she can be more successful on this assignment and resubmit. </t>
        </is>
      </c>
    </row>
    <row r="31">
      <c r="A31" s="1" t="inlineStr">
        <is>
          <t>CSEPC110</t>
        </is>
      </c>
      <c r="B31" s="37" t="inlineStr">
        <is>
          <t>Scheduled - Classwide</t>
        </is>
      </c>
      <c r="C31" s="37" t="inlineStr">
        <is>
          <t>Course Closing Reminder</t>
        </is>
      </c>
      <c r="D31" s="38" t="n">
        <v>7</v>
      </c>
      <c r="E31" s="38" t="n">
        <v>1</v>
      </c>
      <c r="F31" s="38" t="n"/>
      <c r="G31" s="39" t="n"/>
      <c r="H31" s="38" t="inlineStr">
        <is>
          <t>y</t>
        </is>
      </c>
      <c r="I31" s="40">
        <f>DATE(YEAR(Setup!$C$4),MONTH(Setup!$C$4),DAY(Setup!$C$4)+((D31-1)*7)+(E31-WEEKDAY(DATE(YEAR(Setup!$C$4),MONTH(Setup!$C$4),DAY(Setup!$C$4)),1)))</f>
        <v/>
      </c>
      <c r="J31" s="40">
        <f>I31+3</f>
        <v/>
      </c>
      <c r="K31" s="40">
        <f>(I31 + (7 - WEEKDAY(I31,1))) + 1</f>
        <v/>
      </c>
      <c r="L31" s="38" t="n"/>
      <c r="M31" s="41" t="inlineStr">
        <is>
          <t>Course Closing Reminder</t>
        </is>
      </c>
      <c r="N31" s="37" t="inlineStr">
        <is>
          <t xml:space="preserve">Send a message to your students, reminding them that the course is closing this week and of the due dates they must meet to get assignments in and applied to their final grade. </t>
        </is>
      </c>
    </row>
    <row r="32">
      <c r="A32" s="1" t="inlineStr">
        <is>
          <t>CSEPC110</t>
        </is>
      </c>
      <c r="B32" s="1" t="inlineStr">
        <is>
          <t>Scheduled - Classwide</t>
        </is>
      </c>
      <c r="C32" s="1" t="inlineStr">
        <is>
          <t>Registration Reminder 2</t>
        </is>
      </c>
      <c r="D32" s="23" t="n">
        <v>7</v>
      </c>
      <c r="E32" s="23" t="n">
        <v>1</v>
      </c>
      <c r="H32" s="23" t="inlineStr">
        <is>
          <t>y</t>
        </is>
      </c>
      <c r="I32" s="40">
        <f>DATE(YEAR(Setup!$C$4),MONTH(Setup!$C$4),DAY(Setup!$C$4)+((D32-1)*7)+(E32-WEEKDAY(DATE(YEAR(Setup!$C$4),MONTH(Setup!$C$4),DAY(Setup!$C$4)),1)))</f>
        <v/>
      </c>
      <c r="J32" s="40">
        <f>I32+3</f>
        <v/>
      </c>
      <c r="K32" s="40">
        <f>(I32 + (7 - WEEKDAY(I32,1))) + 1</f>
        <v/>
      </c>
      <c r="L32" s="23" t="n">
        <v>0</v>
      </c>
      <c r="M32" s="1" t="inlineStr">
        <is>
          <t>Registration Reminder 2</t>
        </is>
      </c>
      <c r="N32" s="1" t="inlineStr">
        <is>
          <t>Send a message to all students, reminding them that registration for the next block is still open, but will be closing soon. Encourage them to go in and register as soon as possible.</t>
        </is>
      </c>
    </row>
    <row r="33">
      <c r="A33" s="1" t="inlineStr">
        <is>
          <t>CSEPC110</t>
        </is>
      </c>
      <c r="B33" s="1" t="inlineStr">
        <is>
          <t>Scheduled - Classwide</t>
        </is>
      </c>
      <c r="C33" s="1" t="inlineStr">
        <is>
          <t>End of Block Reminder</t>
        </is>
      </c>
      <c r="D33" s="23" t="n">
        <v>7</v>
      </c>
      <c r="E33" s="23" t="n">
        <v>2</v>
      </c>
      <c r="H33" s="23" t="inlineStr">
        <is>
          <t>y</t>
        </is>
      </c>
      <c r="I33" s="40">
        <f>DATE(YEAR(Setup!$C$4),MONTH(Setup!$C$4),DAY(Setup!$C$4)+((D33-1)*7)+(E33-WEEKDAY(DATE(YEAR(Setup!$C$4),MONTH(Setup!$C$4),DAY(Setup!$C$4)),1)))</f>
        <v/>
      </c>
      <c r="J33" s="40">
        <f>I33+3</f>
        <v/>
      </c>
      <c r="K33" s="40">
        <f>(I33 + (7 - WEEKDAY(I33,1))) + 1</f>
        <v/>
      </c>
      <c r="L33" s="23" t="e">
        <v>#VALUE!</v>
      </c>
      <c r="M33" s="1" t="inlineStr">
        <is>
          <t>End of Block Reminder</t>
        </is>
      </c>
      <c r="N33" s="1" t="inlineStr">
        <is>
          <t>Remind Students the course will be closing, submit assignments by deadline, complete End-of-Course Evaluation</t>
        </is>
      </c>
    </row>
    <row r="34">
      <c r="B34" s="3" t="n"/>
      <c r="G34" s="24" t="n"/>
      <c r="H34" s="24" t="n"/>
      <c r="I34" s="26" t="n"/>
      <c r="J34" s="26" t="n"/>
      <c r="K34" s="26" t="n"/>
    </row>
    <row r="35">
      <c r="G35" s="24" t="n"/>
      <c r="H35" s="24" t="n"/>
      <c r="I35" s="26" t="n"/>
      <c r="J35" s="26" t="n"/>
      <c r="K35" s="26" t="n"/>
    </row>
    <row r="36">
      <c r="G36" s="24" t="n"/>
      <c r="H36" s="24" t="n"/>
      <c r="I36" s="26" t="n"/>
      <c r="J36" s="26" t="n"/>
      <c r="K36" s="26" t="n"/>
    </row>
    <row r="37">
      <c r="G37" s="24" t="n"/>
      <c r="H37" s="24" t="n"/>
      <c r="I37" s="26" t="n"/>
      <c r="J37" s="26" t="n"/>
      <c r="K37" s="26" t="n"/>
    </row>
    <row r="38">
      <c r="G38" s="24" t="n"/>
      <c r="H38" s="24" t="n"/>
      <c r="I38" s="26" t="n"/>
      <c r="J38" s="26" t="n"/>
      <c r="K38" s="26" t="n"/>
    </row>
    <row r="39">
      <c r="G39" s="24" t="n"/>
      <c r="H39" s="24" t="n"/>
      <c r="I39" s="26" t="n"/>
      <c r="J39" s="26" t="n"/>
      <c r="K39" s="26" t="n"/>
    </row>
    <row r="40">
      <c r="G40" s="24" t="n"/>
      <c r="H40" s="24" t="n"/>
      <c r="I40" s="26" t="n"/>
      <c r="J40" s="26" t="n"/>
      <c r="K40" s="26" t="n"/>
    </row>
    <row r="41">
      <c r="G41" s="24" t="n"/>
      <c r="H41" s="24" t="n"/>
      <c r="I41" s="26" t="n"/>
      <c r="J41" s="26" t="n"/>
      <c r="K41" s="26" t="n"/>
    </row>
    <row r="42">
      <c r="I42" s="26" t="n"/>
      <c r="J42" s="26" t="n"/>
      <c r="K42" s="26" t="n"/>
      <c r="M42" s="1" t="n"/>
    </row>
    <row r="43">
      <c r="G43" s="24" t="n"/>
      <c r="H43" s="24" t="n"/>
      <c r="I43" s="26" t="n"/>
      <c r="J43" s="26" t="n"/>
      <c r="K43" s="26" t="n"/>
    </row>
    <row r="44">
      <c r="G44" s="24" t="n"/>
      <c r="H44" s="24" t="n"/>
      <c r="I44" s="26" t="n"/>
      <c r="J44" s="26" t="n"/>
      <c r="K44" s="26" t="n"/>
    </row>
    <row r="45">
      <c r="G45" s="24" t="n"/>
      <c r="H45" s="24" t="n"/>
      <c r="I45" s="26" t="n"/>
      <c r="J45" s="26" t="n"/>
      <c r="K45" s="26" t="n"/>
    </row>
    <row r="46">
      <c r="G46" s="24" t="n"/>
      <c r="H46" s="24" t="n"/>
      <c r="I46" s="26" t="n"/>
      <c r="J46" s="26" t="n"/>
      <c r="K46" s="26" t="n"/>
    </row>
    <row r="47">
      <c r="G47" s="24" t="n"/>
      <c r="H47" s="24" t="n"/>
      <c r="I47" s="26" t="n"/>
      <c r="J47" s="26" t="n"/>
      <c r="K47" s="26" t="n"/>
    </row>
    <row r="48">
      <c r="G48" s="24" t="n"/>
      <c r="H48" s="24" t="n"/>
      <c r="I48" s="26" t="n"/>
      <c r="J48" s="26" t="n"/>
      <c r="K48" s="26" t="n"/>
    </row>
    <row r="49">
      <c r="G49" s="24" t="n"/>
      <c r="H49" s="24" t="n"/>
      <c r="I49" s="26" t="n"/>
      <c r="J49" s="26" t="n"/>
      <c r="K49" s="26" t="n"/>
    </row>
    <row r="50">
      <c r="G50" s="24" t="n"/>
      <c r="H50" s="24" t="n"/>
      <c r="I50" s="26" t="n"/>
      <c r="J50" s="26" t="n"/>
      <c r="K50" s="26" t="n"/>
    </row>
    <row r="51">
      <c r="B51" s="3" t="n"/>
      <c r="G51" s="24" t="n"/>
      <c r="H51" s="24" t="n"/>
      <c r="I51" s="26" t="n"/>
      <c r="J51" s="26" t="n"/>
      <c r="K51" s="26" t="n"/>
    </row>
    <row r="52">
      <c r="G52" s="24" t="n"/>
      <c r="H52" s="24" t="n"/>
      <c r="I52" s="26" t="n"/>
      <c r="J52" s="26" t="n"/>
      <c r="K52" s="26" t="n"/>
    </row>
    <row r="53">
      <c r="I53" s="26" t="n"/>
      <c r="J53" s="26" t="n"/>
      <c r="K53" s="26" t="n"/>
      <c r="M53" s="1" t="n"/>
    </row>
    <row r="54">
      <c r="G54" s="24" t="n"/>
      <c r="H54" s="24" t="n"/>
      <c r="I54" s="26" t="n"/>
      <c r="J54" s="26" t="n"/>
      <c r="K54" s="26" t="n"/>
    </row>
    <row r="55">
      <c r="G55" s="24" t="n"/>
      <c r="H55" s="24" t="n"/>
      <c r="I55" s="26" t="n"/>
      <c r="J55" s="26" t="n"/>
      <c r="K55" s="26" t="n"/>
    </row>
    <row r="56">
      <c r="G56" s="24" t="n"/>
      <c r="H56" s="24" t="n"/>
      <c r="I56" s="26" t="n"/>
      <c r="J56" s="26" t="n"/>
      <c r="K56" s="26" t="n"/>
    </row>
    <row r="57">
      <c r="G57" s="24" t="n"/>
      <c r="H57" s="24" t="n"/>
      <c r="I57" s="26" t="n"/>
      <c r="J57" s="26" t="n"/>
      <c r="K57" s="26" t="n"/>
    </row>
    <row r="58">
      <c r="G58" s="24" t="n"/>
      <c r="H58" s="24" t="n"/>
      <c r="I58" s="26" t="n"/>
      <c r="J58" s="26" t="n"/>
      <c r="K58" s="26" t="n"/>
    </row>
    <row r="59">
      <c r="G59" s="24" t="n"/>
      <c r="H59" s="24" t="n"/>
      <c r="I59" s="26" t="n"/>
      <c r="J59" s="26" t="n"/>
      <c r="K59" s="26" t="n"/>
    </row>
    <row r="60">
      <c r="G60" s="24" t="n"/>
      <c r="H60" s="24" t="n"/>
      <c r="I60" s="26" t="n"/>
      <c r="J60" s="26" t="n"/>
      <c r="K60" s="26" t="n"/>
    </row>
    <row r="61">
      <c r="G61" s="24" t="n"/>
      <c r="H61" s="24" t="n"/>
      <c r="I61" s="26" t="n"/>
      <c r="J61" s="26" t="n"/>
      <c r="K61" s="26" t="n"/>
    </row>
    <row r="62">
      <c r="G62" s="24" t="n"/>
      <c r="H62" s="24" t="n"/>
      <c r="I62" s="26" t="n"/>
      <c r="J62" s="26" t="n"/>
      <c r="K62" s="26" t="n"/>
    </row>
    <row r="63">
      <c r="B63" s="3" t="n"/>
      <c r="G63" s="24" t="n"/>
      <c r="H63" s="24" t="n"/>
      <c r="I63" s="26" t="n"/>
      <c r="J63" s="26" t="n"/>
      <c r="K63" s="26" t="n"/>
    </row>
    <row r="64">
      <c r="I64" s="26" t="n"/>
      <c r="J64" s="26" t="n"/>
      <c r="K64" s="26" t="n"/>
      <c r="M64" s="1" t="n"/>
    </row>
    <row r="65">
      <c r="G65" s="24" t="n"/>
      <c r="H65" s="24" t="n"/>
      <c r="I65" s="26" t="n"/>
      <c r="J65" s="26" t="n"/>
      <c r="K65" s="26" t="n"/>
    </row>
    <row r="66">
      <c r="G66" s="24" t="n"/>
      <c r="H66" s="24" t="n"/>
      <c r="I66" s="26" t="n"/>
      <c r="J66" s="26" t="n"/>
      <c r="K66" s="26" t="n"/>
    </row>
    <row r="67">
      <c r="G67" s="24" t="n"/>
      <c r="H67" s="24" t="n"/>
      <c r="I67" s="26" t="n"/>
      <c r="J67" s="26" t="n"/>
      <c r="K67" s="26" t="n"/>
    </row>
    <row r="68">
      <c r="G68" s="24" t="n"/>
      <c r="H68" s="24" t="n"/>
      <c r="I68" s="26" t="n"/>
      <c r="J68" s="26" t="n"/>
      <c r="K68" s="26" t="n"/>
    </row>
  </sheetData>
  <sheetProtection selectLockedCells="1" selectUnlockedCells="0" algorithmName="SHA-512" sheet="1" objects="0" insertRows="0" insertHyperlinks="1" autoFilter="0" scenarios="0" formatColumns="1" deleteColumns="1" insertColumns="1" pivotTables="1" deleteRows="0" formatCells="0" saltValue="m/eFvT464mC1mOXokw6hzw==" formatRows="0" sort="0" spinCount="100000" hashValue="Hg62I/mdlIRuUzDeFb8Jjhh+tTFLvnslus0VLQnh2xA5aAIRI9Db4tY0+MlhnowyZdObMfoBmCErLPkcsfXX6A=="/>
  <autoFilter ref="A1:N68"/>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4.xml><?xml version="1.0" encoding="utf-8"?>
<worksheet xmlns="http://schemas.openxmlformats.org/spreadsheetml/2006/main">
  <sheetPr codeName="Sheet24">
    <outlinePr summaryBelow="1" summaryRight="1"/>
    <pageSetUpPr/>
  </sheetPr>
  <dimension ref="A1:O70"/>
  <sheetViews>
    <sheetView workbookViewId="0">
      <pane xSplit="3" topLeftCell="D1" activePane="topRight" state="frozen"/>
      <selection pane="topRight" activeCell="A2" sqref="A2:O55"/>
      <selection activeCell="D12" sqref="D12"/>
    </sheetView>
  </sheetViews>
  <sheetFormatPr baseColWidth="8" defaultColWidth="8.85546875" defaultRowHeight="15"/>
  <cols>
    <col width="13" customWidth="1" style="1" min="1" max="1"/>
    <col width="24.28515625" customWidth="1" style="1" min="2" max="2"/>
    <col width="93.42578125" bestFit="1" customWidth="1" style="1" min="3" max="3"/>
    <col width="14.42578125" customWidth="1" style="23" min="4" max="4"/>
    <col width="14" customWidth="1" style="23" min="5" max="6"/>
    <col width="8.85546875" customWidth="1" style="23" min="7" max="7"/>
    <col hidden="1" width="14.140625" customWidth="1" style="23" min="8" max="8"/>
    <col hidden="1" width="16.85546875" customWidth="1" style="23" min="9" max="9"/>
    <col hidden="1" width="22" customWidth="1" style="23" min="10" max="10"/>
    <col hidden="1" width="15.28515625" customWidth="1" style="23" min="11" max="11"/>
    <col hidden="1" width="17.7109375" customWidth="1" style="23" min="12" max="12"/>
    <col hidden="1" width="12.85546875" customWidth="1" style="23" min="13" max="13"/>
    <col width="38.7109375" bestFit="1" customWidth="1" style="1" min="14" max="14"/>
    <col width="119.140625" customWidth="1" style="1" min="15" max="15"/>
    <col width="8.85546875" customWidth="1" style="1" min="16"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c r="O1" s="25" t="inlineStr">
        <is>
          <t>Description/Prompt in IMS</t>
        </is>
      </c>
    </row>
    <row r="2">
      <c r="A2" s="1" t="inlineStr">
        <is>
          <t>CSEPC110M</t>
        </is>
      </c>
      <c r="B2" s="1" t="inlineStr">
        <is>
          <t>New Student Added</t>
        </is>
      </c>
      <c r="C2" s="1" t="inlineStr">
        <is>
          <t>New Student Added</t>
        </is>
      </c>
      <c r="D2" s="23" t="n">
        <v>0</v>
      </c>
      <c r="E2" s="23" t="n">
        <v>2</v>
      </c>
      <c r="G2" s="24" t="n"/>
      <c r="H2" s="24" t="n"/>
      <c r="I2" s="26" t="n"/>
      <c r="J2" s="26">
        <f>DATE(YEAR(Setup!$C$4),MONTH(Setup!$C$4),DAY(Setup!$C$4)+((D2-1)*7)+(E2-WEEKDAY(DATE(YEAR(Setup!$C$4),MONTH(Setup!$C$4),DAY(Setup!$C$4)),1)))</f>
        <v/>
      </c>
      <c r="K2" s="26">
        <f>J2+3</f>
        <v/>
      </c>
      <c r="L2" s="26">
        <f>(J2 + (7 - WEEKDAY(J2,1))) + 1</f>
        <v/>
      </c>
      <c r="M2" s="23">
        <f>F2*G2</f>
        <v/>
      </c>
      <c r="N2" s="1" t="inlineStr">
        <is>
          <t>New Student Added</t>
        </is>
      </c>
      <c r="O2" s="1" t="inlineStr">
        <is>
          <t>Send a message to new students to welcome them to class and help them submit any assignments they missed.</t>
        </is>
      </c>
    </row>
    <row r="3">
      <c r="A3" s="1" t="inlineStr">
        <is>
          <t>CSEPC110M</t>
        </is>
      </c>
      <c r="B3" s="1" t="inlineStr">
        <is>
          <t>Grader-Issued 0</t>
        </is>
      </c>
      <c r="C3" s="1" t="inlineStr">
        <is>
          <t>1.4 Project: Clever Stories</t>
        </is>
      </c>
      <c r="D3" s="23" t="n">
        <v>1</v>
      </c>
      <c r="E3" s="23" t="n">
        <v>1</v>
      </c>
      <c r="G3" s="24" t="n"/>
      <c r="H3" s="24" t="n"/>
      <c r="I3" s="26" t="n">
        <v>45906.99930555555</v>
      </c>
      <c r="J3" s="26">
        <f>DATE(YEAR(Setup!$C$4),MONTH(Setup!$C$4),DAY(Setup!$C$4)+((D3-1)*7)+(E3-WEEKDAY(DATE(YEAR(Setup!$C$4),MONTH(Setup!$C$4),DAY(Setup!$C$4)),1)))</f>
        <v/>
      </c>
      <c r="K3" s="26">
        <f>J3+3</f>
        <v/>
      </c>
      <c r="L3" s="26">
        <f>I3+14</f>
        <v/>
      </c>
      <c r="M3" s="23">
        <f>F3*G3</f>
        <v/>
      </c>
      <c r="N3" s="1" t="inlineStr">
        <is>
          <t>Outcomes Not Met: 1.4 Project</t>
        </is>
      </c>
      <c r="O3" s="1" t="inlineStr">
        <is>
          <t xml:space="preserve">This student did not meet the outcomes of this assignment. Send a message to this student offering some form of help so he/she can be more successful on this assignment and resubmit. </t>
        </is>
      </c>
    </row>
    <row r="4">
      <c r="A4" s="1" t="inlineStr">
        <is>
          <t>CSEPC110M</t>
        </is>
      </c>
      <c r="B4" s="1" t="inlineStr">
        <is>
          <t>Grader-Issued 0</t>
        </is>
      </c>
      <c r="C4" s="1" t="inlineStr">
        <is>
          <t>2.4 Project: Meal Price Calculator</t>
        </is>
      </c>
      <c r="D4" s="23" t="n">
        <v>1</v>
      </c>
      <c r="E4" s="23" t="n">
        <v>1</v>
      </c>
      <c r="G4" s="24" t="n"/>
      <c r="H4" s="24" t="n"/>
      <c r="I4" s="26" t="n">
        <v>45913.99930555555</v>
      </c>
      <c r="J4" s="26">
        <f>DATE(YEAR(Setup!$C$4),MONTH(Setup!$C$4),DAY(Setup!$C$4)+((D4-1)*7)+(E4-WEEKDAY(DATE(YEAR(Setup!$C$4),MONTH(Setup!$C$4),DAY(Setup!$C$4)),1)))</f>
        <v/>
      </c>
      <c r="K4" s="26">
        <f>J4+3</f>
        <v/>
      </c>
      <c r="L4" s="26">
        <f>I4+14</f>
        <v/>
      </c>
      <c r="M4" s="23">
        <f>F4*G4</f>
        <v/>
      </c>
      <c r="N4" s="1" t="inlineStr">
        <is>
          <t>Outcomes Not Met: 2.4 Project</t>
        </is>
      </c>
      <c r="O4" s="1" t="inlineStr">
        <is>
          <t xml:space="preserve">This student did not meet the outcomes of this assignment. Send a message to this student offering some form of help so he/she can be more successful on this assignment and resubmit. </t>
        </is>
      </c>
    </row>
    <row r="5">
      <c r="A5" s="1" t="inlineStr">
        <is>
          <t>CSEPC110M</t>
        </is>
      </c>
      <c r="B5" s="1" t="inlineStr">
        <is>
          <t>Grader-Issued 0</t>
        </is>
      </c>
      <c r="C5" s="1" t="inlineStr">
        <is>
          <t>3.4 Project: Adventure Game</t>
        </is>
      </c>
      <c r="D5" s="23" t="n">
        <v>1</v>
      </c>
      <c r="E5" s="23" t="n">
        <v>1</v>
      </c>
      <c r="G5" s="24" t="n"/>
      <c r="H5" s="24" t="n"/>
      <c r="I5" s="26" t="n">
        <v>45920.99930555555</v>
      </c>
      <c r="J5" s="26">
        <f>DATE(YEAR(Setup!$C$4),MONTH(Setup!$C$4),DAY(Setup!$C$4)+((D5-1)*7)+(E5-WEEKDAY(DATE(YEAR(Setup!$C$4),MONTH(Setup!$C$4),DAY(Setup!$C$4)),1)))</f>
        <v/>
      </c>
      <c r="K5" s="26">
        <f>J5+3</f>
        <v/>
      </c>
      <c r="L5" s="26">
        <f>I5+14</f>
        <v/>
      </c>
      <c r="M5" s="23">
        <f>F5*G5</f>
        <v/>
      </c>
      <c r="N5" s="1" t="inlineStr">
        <is>
          <t>Outcomes Not Met: 3.4 Project</t>
        </is>
      </c>
      <c r="O5" s="1" t="inlineStr">
        <is>
          <t xml:space="preserve">This student did not meet the outcomes of this assignment. Send a message to this student offering some form of help so he/she can be more successful on this assignment and resubmit. </t>
        </is>
      </c>
    </row>
    <row r="6">
      <c r="A6" s="1" t="inlineStr">
        <is>
          <t>CSEPC110M</t>
        </is>
      </c>
      <c r="B6" s="1" t="inlineStr">
        <is>
          <t>Grader-Issued 0</t>
        </is>
      </c>
      <c r="C6" s="1" t="inlineStr">
        <is>
          <t>4.4 Project: Word Puzzle</t>
        </is>
      </c>
      <c r="D6" s="23" t="n">
        <v>1</v>
      </c>
      <c r="E6" s="23" t="n">
        <v>1</v>
      </c>
      <c r="G6" s="24" t="n"/>
      <c r="H6" s="24" t="n"/>
      <c r="I6" s="26" t="n">
        <v>45927.99930555555</v>
      </c>
      <c r="J6" s="26">
        <f>DATE(YEAR(Setup!$C$4),MONTH(Setup!$C$4),DAY(Setup!$C$4)+((D6-1)*7)+(E6-WEEKDAY(DATE(YEAR(Setup!$C$4),MONTH(Setup!$C$4),DAY(Setup!$C$4)),1)))</f>
        <v/>
      </c>
      <c r="K6" s="26">
        <f>J6+3</f>
        <v/>
      </c>
      <c r="L6" s="26">
        <f>I6+14</f>
        <v/>
      </c>
      <c r="M6" s="23">
        <f>F6*G6</f>
        <v/>
      </c>
      <c r="N6" s="1" t="inlineStr">
        <is>
          <t>Outcomes Not Met: 4.4 Project</t>
        </is>
      </c>
      <c r="O6" s="1" t="inlineStr">
        <is>
          <t xml:space="preserve">This student did not meet the outcomes of this assignment. Send a message to this student offering some form of help so he/she can be more successful on this assignment and resubmit. </t>
        </is>
      </c>
    </row>
    <row r="7">
      <c r="A7" s="1" t="inlineStr">
        <is>
          <t>CSEPC110M</t>
        </is>
      </c>
      <c r="B7" s="1" t="inlineStr">
        <is>
          <t>Grader-Issued 0</t>
        </is>
      </c>
      <c r="C7" s="1" t="inlineStr">
        <is>
          <t>5.4 Project: Shopping Cart</t>
        </is>
      </c>
      <c r="D7" s="23" t="n">
        <v>1</v>
      </c>
      <c r="E7" s="23" t="n">
        <v>1</v>
      </c>
      <c r="G7" s="24" t="n"/>
      <c r="H7" s="24" t="n"/>
      <c r="I7" s="26" t="n">
        <v>45934.99930555555</v>
      </c>
      <c r="J7" s="26">
        <f>DATE(YEAR(Setup!$C$4),MONTH(Setup!$C$4),DAY(Setup!$C$4)+((D7-1)*7)+(E7-WEEKDAY(DATE(YEAR(Setup!$C$4),MONTH(Setup!$C$4),DAY(Setup!$C$4)),1)))</f>
        <v/>
      </c>
      <c r="K7" s="26">
        <f>J7+3</f>
        <v/>
      </c>
      <c r="L7" s="26">
        <f>I7+14</f>
        <v/>
      </c>
      <c r="M7" s="23">
        <f>F7*G7</f>
        <v/>
      </c>
      <c r="N7" s="1" t="inlineStr">
        <is>
          <t>Outcomes Not Met: 5.4 Project</t>
        </is>
      </c>
      <c r="O7" s="1" t="inlineStr">
        <is>
          <t xml:space="preserve">This student did not meet the outcomes of this assignment. Send a message to this student offering some form of help so he/she can be more successful on this assignment and resubmit. </t>
        </is>
      </c>
    </row>
    <row r="8">
      <c r="A8" s="1" t="inlineStr">
        <is>
          <t>CSEPC110M</t>
        </is>
      </c>
      <c r="B8" s="1" t="inlineStr">
        <is>
          <t>Grader-Issued 0</t>
        </is>
      </c>
      <c r="C8" s="1" t="inlineStr">
        <is>
          <t>A1.4 Project: Data Analysis</t>
        </is>
      </c>
      <c r="D8" s="23" t="n">
        <v>1</v>
      </c>
      <c r="E8" s="23" t="n">
        <v>1</v>
      </c>
      <c r="G8" s="24" t="n"/>
      <c r="H8" s="24" t="n"/>
      <c r="I8" s="26" t="n">
        <v>45941.99930555555</v>
      </c>
      <c r="J8" s="26">
        <f>DATE(YEAR(Setup!$C$4),MONTH(Setup!$C$4),DAY(Setup!$C$4)+((D8-1)*7)+(E8-WEEKDAY(DATE(YEAR(Setup!$C$4),MONTH(Setup!$C$4),DAY(Setup!$C$4)),1)))</f>
        <v/>
      </c>
      <c r="K8" s="26">
        <f>J8+3</f>
        <v/>
      </c>
      <c r="L8" s="26">
        <f>I8+14</f>
        <v/>
      </c>
      <c r="M8" s="23">
        <f>F8*G8</f>
        <v/>
      </c>
      <c r="N8" s="1" t="inlineStr">
        <is>
          <t>Outcomes Not Met: A1.4 Project</t>
        </is>
      </c>
      <c r="O8" s="1" t="inlineStr">
        <is>
          <t xml:space="preserve">This student did not meet the outcomes of this assignment. Send a message to this student offering some form of help so he/she can be more successful on this assignment and resubmit. </t>
        </is>
      </c>
    </row>
    <row r="9">
      <c r="A9" s="1" t="inlineStr">
        <is>
          <t>CSEPC110M</t>
        </is>
      </c>
      <c r="B9" s="1" t="inlineStr">
        <is>
          <t>Grader-Issued 0</t>
        </is>
      </c>
      <c r="C9" s="1" t="inlineStr">
        <is>
          <t>A2.4 Project: Windchill</t>
        </is>
      </c>
      <c r="D9" s="23" t="n">
        <v>1</v>
      </c>
      <c r="E9" s="23" t="n">
        <v>1</v>
      </c>
      <c r="G9" s="24" t="n"/>
      <c r="H9" s="24" t="n"/>
      <c r="I9" s="26" t="n">
        <v>45945.99930555555</v>
      </c>
      <c r="J9" s="26">
        <f>DATE(YEAR(Setup!$C$4),MONTH(Setup!$C$4),DAY(Setup!$C$4)+((D9-1)*7)+(E9-WEEKDAY(DATE(YEAR(Setup!$C$4),MONTH(Setup!$C$4),DAY(Setup!$C$4)),1)))</f>
        <v/>
      </c>
      <c r="K9" s="26">
        <f>J9+3</f>
        <v/>
      </c>
      <c r="L9" s="26">
        <f>I9+14</f>
        <v/>
      </c>
      <c r="M9" s="23">
        <f>F9*G9</f>
        <v/>
      </c>
      <c r="N9" s="1" t="inlineStr">
        <is>
          <t>Outcomes Not Met: A2.4 Project</t>
        </is>
      </c>
      <c r="O9" s="1" t="inlineStr">
        <is>
          <t xml:space="preserve">This student did not meet the outcomes of this assignment. Send a message to this student offering some form of help so he/she can be more successful on this assignment and resubmit. </t>
        </is>
      </c>
    </row>
    <row r="10">
      <c r="A10" s="1" t="inlineStr">
        <is>
          <t>CSEPC110M</t>
        </is>
      </c>
      <c r="B10" s="1" t="inlineStr">
        <is>
          <t>High Performance</t>
        </is>
      </c>
      <c r="C10" s="1" t="inlineStr">
        <is>
          <t>1.4 Project: Clever Stories</t>
        </is>
      </c>
      <c r="D10" s="23" t="n">
        <v>1</v>
      </c>
      <c r="E10" s="23" t="n">
        <v>1</v>
      </c>
      <c r="F10" s="23" t="n">
        <v>100</v>
      </c>
      <c r="G10" s="24" t="n">
        <v>1</v>
      </c>
      <c r="H10" s="24" t="n"/>
      <c r="I10" s="26" t="n">
        <v>45906.99930555555</v>
      </c>
      <c r="J10" s="26">
        <f>DATE(YEAR(Setup!$C$4),MONTH(Setup!$C$4),DAY(Setup!$C$4)+((D10-1)*7)+(E10-WEEKDAY(DATE(YEAR(Setup!$C$4),MONTH(Setup!$C$4),DAY(Setup!$C$4)),1)))</f>
        <v/>
      </c>
      <c r="K10" s="26">
        <f>J10+3</f>
        <v/>
      </c>
      <c r="L10" s="26">
        <f>I10+14</f>
        <v/>
      </c>
      <c r="M10" s="23">
        <f>F10*G10</f>
        <v/>
      </c>
      <c r="N10" s="1" t="inlineStr">
        <is>
          <t>High-Performance: 1.4 Project</t>
        </is>
      </c>
      <c r="O10" s="1" t="inlineStr">
        <is>
          <t>This student met the outcomes of this assignment.  Send a message of praise and encouragement for effort and good performance on this assignment.</t>
        </is>
      </c>
    </row>
    <row r="11">
      <c r="A11" s="1" t="inlineStr">
        <is>
          <t>CSEPC110M</t>
        </is>
      </c>
      <c r="B11" s="1" t="inlineStr">
        <is>
          <t>High Performance</t>
        </is>
      </c>
      <c r="C11" s="1" t="inlineStr">
        <is>
          <t>2.4 Project: Meal Price Calculator</t>
        </is>
      </c>
      <c r="D11" s="23" t="n">
        <v>1</v>
      </c>
      <c r="E11" s="23" t="n">
        <v>1</v>
      </c>
      <c r="F11" s="23" t="n">
        <v>100</v>
      </c>
      <c r="G11" s="24" t="n">
        <v>1</v>
      </c>
      <c r="H11" s="24" t="n"/>
      <c r="I11" s="26" t="n">
        <v>45913.99930555555</v>
      </c>
      <c r="J11" s="26">
        <f>DATE(YEAR(Setup!$C$4),MONTH(Setup!$C$4),DAY(Setup!$C$4)+((D11-1)*7)+(E11-WEEKDAY(DATE(YEAR(Setup!$C$4),MONTH(Setup!$C$4),DAY(Setup!$C$4)),1)))</f>
        <v/>
      </c>
      <c r="K11" s="26">
        <f>J11+3</f>
        <v/>
      </c>
      <c r="L11" s="26">
        <f>I11+14</f>
        <v/>
      </c>
      <c r="M11" s="23">
        <f>F11*G11</f>
        <v/>
      </c>
      <c r="N11" s="1" t="inlineStr">
        <is>
          <t>High-Performance: 2.4 Project</t>
        </is>
      </c>
      <c r="O11" s="1" t="inlineStr">
        <is>
          <t>This student met the outcomes of this assignment.  Send a message of praise and encouragement for effort and good performance on this assignment.</t>
        </is>
      </c>
    </row>
    <row r="12">
      <c r="A12" s="1" t="inlineStr">
        <is>
          <t>CSEPC110M</t>
        </is>
      </c>
      <c r="B12" s="1" t="inlineStr">
        <is>
          <t>High Performance</t>
        </is>
      </c>
      <c r="C12" s="1" t="inlineStr">
        <is>
          <t>3.4 Project: Adventure Game</t>
        </is>
      </c>
      <c r="D12" s="23" t="n">
        <v>1</v>
      </c>
      <c r="E12" s="23" t="n">
        <v>1</v>
      </c>
      <c r="F12" s="23" t="n">
        <v>100</v>
      </c>
      <c r="G12" s="24" t="n">
        <v>1</v>
      </c>
      <c r="H12" s="24" t="n"/>
      <c r="I12" s="26" t="n">
        <v>45920.99930555555</v>
      </c>
      <c r="J12" s="26">
        <f>DATE(YEAR(Setup!$C$4),MONTH(Setup!$C$4),DAY(Setup!$C$4)+((D12-1)*7)+(E12-WEEKDAY(DATE(YEAR(Setup!$C$4),MONTH(Setup!$C$4),DAY(Setup!$C$4)),1)))</f>
        <v/>
      </c>
      <c r="K12" s="26">
        <f>J12+3</f>
        <v/>
      </c>
      <c r="L12" s="26">
        <f>I12+14</f>
        <v/>
      </c>
      <c r="M12" s="23">
        <f>F12*G12</f>
        <v/>
      </c>
      <c r="N12" s="1" t="inlineStr">
        <is>
          <t>High-Performance: 3.4 Project</t>
        </is>
      </c>
      <c r="O12" s="1" t="inlineStr">
        <is>
          <t>This student met the outcomes of this assignment.  Send a message of praise and encouragement for effort and good performance on this assignment.</t>
        </is>
      </c>
    </row>
    <row r="13">
      <c r="A13" s="1" t="inlineStr">
        <is>
          <t>CSEPC110M</t>
        </is>
      </c>
      <c r="B13" s="1" t="inlineStr">
        <is>
          <t>High Performance</t>
        </is>
      </c>
      <c r="C13" s="1" t="inlineStr">
        <is>
          <t>4.4 Project: Word Puzzle</t>
        </is>
      </c>
      <c r="D13" s="23" t="n">
        <v>1</v>
      </c>
      <c r="E13" s="23" t="n">
        <v>1</v>
      </c>
      <c r="F13" s="23" t="n">
        <v>100</v>
      </c>
      <c r="G13" s="24" t="n">
        <v>1</v>
      </c>
      <c r="H13" s="24" t="n"/>
      <c r="I13" s="26" t="n">
        <v>45927.99930555555</v>
      </c>
      <c r="J13" s="26">
        <f>DATE(YEAR(Setup!$C$4),MONTH(Setup!$C$4),DAY(Setup!$C$4)+((D13-1)*7)+(E13-WEEKDAY(DATE(YEAR(Setup!$C$4),MONTH(Setup!$C$4),DAY(Setup!$C$4)),1)))</f>
        <v/>
      </c>
      <c r="K13" s="26">
        <f>J13+3</f>
        <v/>
      </c>
      <c r="L13" s="26">
        <f>I13+14</f>
        <v/>
      </c>
      <c r="M13" s="23">
        <f>F13*G13</f>
        <v/>
      </c>
      <c r="N13" s="1" t="inlineStr">
        <is>
          <t>High-Performance: 4.4 Project</t>
        </is>
      </c>
      <c r="O13" s="1" t="inlineStr">
        <is>
          <t>This student met the outcomes of this assignment.  Send a message of praise and encouragement for effort and good performance on this assignment.</t>
        </is>
      </c>
    </row>
    <row r="14">
      <c r="A14" s="1" t="inlineStr">
        <is>
          <t>CSEPC110M</t>
        </is>
      </c>
      <c r="B14" s="1" t="inlineStr">
        <is>
          <t>High Performance</t>
        </is>
      </c>
      <c r="C14" s="1" t="inlineStr">
        <is>
          <t>5.4 Project: Shopping Cart</t>
        </is>
      </c>
      <c r="D14" s="23" t="n">
        <v>1</v>
      </c>
      <c r="E14" s="23" t="n">
        <v>1</v>
      </c>
      <c r="F14" s="23" t="n">
        <v>100</v>
      </c>
      <c r="G14" s="24" t="n">
        <v>1</v>
      </c>
      <c r="H14" s="24" t="n"/>
      <c r="I14" s="26" t="n">
        <v>45934.99930555555</v>
      </c>
      <c r="J14" s="26">
        <f>DATE(YEAR(Setup!$C$4),MONTH(Setup!$C$4),DAY(Setup!$C$4)+((D14-1)*7)+(E14-WEEKDAY(DATE(YEAR(Setup!$C$4),MONTH(Setup!$C$4),DAY(Setup!$C$4)),1)))</f>
        <v/>
      </c>
      <c r="K14" s="26">
        <f>J14+3</f>
        <v/>
      </c>
      <c r="L14" s="26">
        <f>I14+14</f>
        <v/>
      </c>
      <c r="M14" s="23">
        <f>F14*G14</f>
        <v/>
      </c>
      <c r="N14" s="1" t="inlineStr">
        <is>
          <t>High-Performance: 5.4 Project</t>
        </is>
      </c>
      <c r="O14" s="1" t="inlineStr">
        <is>
          <t>This student met the outcomes of this assignment.  Send a message of praise and encouragement for effort and good performance on this assignment.</t>
        </is>
      </c>
    </row>
    <row r="15">
      <c r="A15" s="1" t="inlineStr">
        <is>
          <t>CSEPC110M</t>
        </is>
      </c>
      <c r="B15" s="1" t="inlineStr">
        <is>
          <t>High Performance</t>
        </is>
      </c>
      <c r="C15" s="1" t="inlineStr">
        <is>
          <t>A1.4 Project: Data Analysis</t>
        </is>
      </c>
      <c r="D15" s="23" t="n">
        <v>1</v>
      </c>
      <c r="E15" s="23" t="n">
        <v>1</v>
      </c>
      <c r="F15" s="23" t="n">
        <v>100</v>
      </c>
      <c r="G15" s="24" t="n">
        <v>1</v>
      </c>
      <c r="H15" s="24" t="n"/>
      <c r="I15" s="26" t="n">
        <v>45941.99930555555</v>
      </c>
      <c r="J15" s="26">
        <f>DATE(YEAR(Setup!$C$4),MONTH(Setup!$C$4),DAY(Setup!$C$4)+((D15-1)*7)+(E15-WEEKDAY(DATE(YEAR(Setup!$C$4),MONTH(Setup!$C$4),DAY(Setup!$C$4)),1)))</f>
        <v/>
      </c>
      <c r="K15" s="26">
        <f>J15+3</f>
        <v/>
      </c>
      <c r="L15" s="26">
        <f>I15+14</f>
        <v/>
      </c>
      <c r="M15" s="23">
        <f>F15*G15</f>
        <v/>
      </c>
      <c r="N15" s="1" t="inlineStr">
        <is>
          <t>High-Performance: A1.4 Project</t>
        </is>
      </c>
      <c r="O15" s="1" t="inlineStr">
        <is>
          <t>This student did the extra work to meet the outcomes of this advanced assignment.  Send a message of praise and encouragement for effort and good performance on this assignment.</t>
        </is>
      </c>
    </row>
    <row r="16">
      <c r="A16" s="1" t="inlineStr">
        <is>
          <t>CSEPC110M</t>
        </is>
      </c>
      <c r="B16" s="1" t="inlineStr">
        <is>
          <t>High Performance</t>
        </is>
      </c>
      <c r="C16" s="1" t="inlineStr">
        <is>
          <t>A2.4 Project: Windchill</t>
        </is>
      </c>
      <c r="D16" s="23" t="n">
        <v>1</v>
      </c>
      <c r="E16" s="23" t="n">
        <v>1</v>
      </c>
      <c r="F16" s="23" t="n">
        <v>100</v>
      </c>
      <c r="G16" s="24" t="n">
        <v>1</v>
      </c>
      <c r="H16" s="24" t="n"/>
      <c r="I16" s="26" t="n">
        <v>45945.99930555555</v>
      </c>
      <c r="J16" s="26">
        <f>DATE(YEAR(Setup!$C$4),MONTH(Setup!$C$4),DAY(Setup!$C$4)+((D16-1)*7)+(E16-WEEKDAY(DATE(YEAR(Setup!$C$4),MONTH(Setup!$C$4),DAY(Setup!$C$4)),1)))</f>
        <v/>
      </c>
      <c r="K16" s="26">
        <f>J16+3</f>
        <v/>
      </c>
      <c r="L16" s="26">
        <f>I16+14</f>
        <v/>
      </c>
      <c r="M16" s="23">
        <f>F16*G16</f>
        <v/>
      </c>
      <c r="N16" s="1" t="inlineStr">
        <is>
          <t>High-Performance: A2.4 Project</t>
        </is>
      </c>
      <c r="O16" s="1" t="inlineStr">
        <is>
          <t>This student did the extra work to meet the outcomes of this advanced assignment.  Send a message of praise and encouragement for effort and good performance on this assignment.</t>
        </is>
      </c>
    </row>
    <row r="17">
      <c r="A17" s="1" t="inlineStr">
        <is>
          <t>CSEPC110M</t>
        </is>
      </c>
      <c r="B17" s="1" t="inlineStr">
        <is>
          <t>Quiz Question</t>
        </is>
      </c>
      <c r="C17" s="1" t="inlineStr">
        <is>
          <t>1.2 Code-along Activity: ID Badge Generator; Question 1: Does the program you wrote run without errors; Answer: No</t>
        </is>
      </c>
      <c r="D17" s="23" t="n">
        <v>1</v>
      </c>
      <c r="E17" s="23" t="n">
        <v>1</v>
      </c>
      <c r="G17" s="24" t="n"/>
      <c r="H17" s="24" t="n"/>
      <c r="I17" s="26" t="n">
        <v>45904.99930555555</v>
      </c>
      <c r="J17" s="26">
        <f>DATE(YEAR(Setup!$C$4),MONTH(Setup!$C$4),DAY(Setup!$C$4)+((D17-1)*7)+(E17-WEEKDAY(DATE(YEAR(Setup!$C$4),MONTH(Setup!$C$4),DAY(Setup!$C$4)),1)))</f>
        <v/>
      </c>
      <c r="K17" s="26">
        <f>J17+3</f>
        <v/>
      </c>
      <c r="L17" s="26">
        <f>I17+14</f>
        <v/>
      </c>
      <c r="M17" s="23">
        <f>F17*G17</f>
        <v/>
      </c>
      <c r="N17" s="1" t="inlineStr">
        <is>
          <t>1.2 Code-along: Program Has Errors</t>
        </is>
      </c>
      <c r="O17" s="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18">
      <c r="A18" s="1" t="inlineStr">
        <is>
          <t>CSEPC110M</t>
        </is>
      </c>
      <c r="B18" s="1" t="inlineStr">
        <is>
          <t>Quiz Question</t>
        </is>
      </c>
      <c r="C18" s="1" t="inlineStr">
        <is>
          <t>2.2 Code-along Activity: Areas of Shapes; ; Question 1: Does the program you wrote run without errors; Answer: No</t>
        </is>
      </c>
      <c r="D18" s="23" t="n">
        <v>1</v>
      </c>
      <c r="E18" s="23" t="n">
        <v>1</v>
      </c>
      <c r="G18" s="24" t="n"/>
      <c r="H18" s="24" t="n"/>
      <c r="I18" s="26" t="n">
        <v>45911.99930555555</v>
      </c>
      <c r="J18" s="26">
        <f>DATE(YEAR(Setup!$C$4),MONTH(Setup!$C$4),DAY(Setup!$C$4)+((D18-1)*7)+(E18-WEEKDAY(DATE(YEAR(Setup!$C$4),MONTH(Setup!$C$4),DAY(Setup!$C$4)),1)))</f>
        <v/>
      </c>
      <c r="K18" s="26">
        <f>J18+3</f>
        <v/>
      </c>
      <c r="L18" s="26">
        <f>I18+14</f>
        <v/>
      </c>
      <c r="M18" s="23">
        <f>F18*G18</f>
        <v/>
      </c>
      <c r="N18" s="1" t="inlineStr">
        <is>
          <t>2.2 Code-along: Program Has Errors</t>
        </is>
      </c>
      <c r="O18" s="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19">
      <c r="A19" s="1" t="inlineStr">
        <is>
          <t>CSEPC110M</t>
        </is>
      </c>
      <c r="B19" s="1" t="inlineStr">
        <is>
          <t>Quiz Question</t>
        </is>
      </c>
      <c r="C19" s="1" t="inlineStr">
        <is>
          <t>3.2 Code-along Activity: Grade Calculator Program; Question 1: Does the program you wrote run without errors; Answer: No</t>
        </is>
      </c>
      <c r="D19" s="23" t="n">
        <v>1</v>
      </c>
      <c r="E19" s="23" t="n">
        <v>1</v>
      </c>
      <c r="G19" s="24" t="n"/>
      <c r="H19" s="24" t="n"/>
      <c r="I19" s="26" t="n">
        <v>45918.99930555555</v>
      </c>
      <c r="J19" s="26">
        <f>DATE(YEAR(Setup!$C$4),MONTH(Setup!$C$4),DAY(Setup!$C$4)+((D19-1)*7)+(E19-WEEKDAY(DATE(YEAR(Setup!$C$4),MONTH(Setup!$C$4),DAY(Setup!$C$4)),1)))</f>
        <v/>
      </c>
      <c r="K19" s="26">
        <f>J19+3</f>
        <v/>
      </c>
      <c r="L19" s="26">
        <f>I19+14</f>
        <v/>
      </c>
      <c r="M19" s="23">
        <f>F19*G19</f>
        <v/>
      </c>
      <c r="N19" s="1" t="inlineStr">
        <is>
          <t>3.2 Code-along: Program Has Errors</t>
        </is>
      </c>
      <c r="O19" s="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20">
      <c r="A20" s="1" t="inlineStr">
        <is>
          <t>CSEPC110M</t>
        </is>
      </c>
      <c r="B20" s="1" t="inlineStr">
        <is>
          <t>Quiz Question</t>
        </is>
      </c>
      <c r="C20" s="1" t="inlineStr">
        <is>
          <t>4.2 Code-along Activity: Guess My Number Game; Question 1: Does the program you wrote run without errors; Answer: No</t>
        </is>
      </c>
      <c r="D20" s="23" t="n">
        <v>1</v>
      </c>
      <c r="E20" s="23" t="n">
        <v>1</v>
      </c>
      <c r="G20" s="24" t="n"/>
      <c r="H20" s="24" t="n"/>
      <c r="I20" s="26" t="n">
        <v>45925.99930555555</v>
      </c>
      <c r="J20" s="26">
        <f>DATE(YEAR(Setup!$C$4),MONTH(Setup!$C$4),DAY(Setup!$C$4)+((D20-1)*7)+(E20-WEEKDAY(DATE(YEAR(Setup!$C$4),MONTH(Setup!$C$4),DAY(Setup!$C$4)),1)))</f>
        <v/>
      </c>
      <c r="K20" s="26">
        <f>J20+3</f>
        <v/>
      </c>
      <c r="L20" s="26">
        <f>I20+14</f>
        <v/>
      </c>
      <c r="M20" s="23">
        <f>F20*G20</f>
        <v/>
      </c>
      <c r="N20" s="1" t="inlineStr">
        <is>
          <t>4.2 Code-along: Program Has Errors</t>
        </is>
      </c>
      <c r="O20" s="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21">
      <c r="A21" s="1" t="inlineStr">
        <is>
          <t>CSEPC110M</t>
        </is>
      </c>
      <c r="B21" s="1" t="inlineStr">
        <is>
          <t>Quiz Question</t>
        </is>
      </c>
      <c r="C21" s="1" t="inlineStr">
        <is>
          <t>5.2 Code-along Activity: Lists of Numbers; Question 1: Does the program you wrote run without errors; Answer: No</t>
        </is>
      </c>
      <c r="D21" s="23" t="n">
        <v>1</v>
      </c>
      <c r="E21" s="23" t="n">
        <v>1</v>
      </c>
      <c r="G21" s="24" t="n"/>
      <c r="H21" s="24" t="n"/>
      <c r="I21" s="26" t="n">
        <v>45932.99930555555</v>
      </c>
      <c r="J21" s="26">
        <f>DATE(YEAR(Setup!$C$4),MONTH(Setup!$C$4),DAY(Setup!$C$4)+((D21-1)*7)+(E21-WEEKDAY(DATE(YEAR(Setup!$C$4),MONTH(Setup!$C$4),DAY(Setup!$C$4)),1)))</f>
        <v/>
      </c>
      <c r="K21" s="26">
        <f>J21+3</f>
        <v/>
      </c>
      <c r="L21" s="26">
        <f>I21+14</f>
        <v/>
      </c>
      <c r="M21" s="23">
        <f>F21*G21</f>
        <v/>
      </c>
      <c r="N21" s="1" t="inlineStr">
        <is>
          <t>5.2 Code-along: Program Has Errors</t>
        </is>
      </c>
      <c r="O21" s="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22">
      <c r="A22" s="1" t="inlineStr">
        <is>
          <t>CSEPC110M</t>
        </is>
      </c>
      <c r="B22" s="1" t="inlineStr">
        <is>
          <t>Quiz Question</t>
        </is>
      </c>
      <c r="C22" s="1" t="inlineStr">
        <is>
          <t>A1.2 Code-along Activity: Human Resource System; Question 1: Does the program you wrote run without errors; Answer: No</t>
        </is>
      </c>
      <c r="D22" s="23" t="n">
        <v>1</v>
      </c>
      <c r="E22" s="23" t="n">
        <v>1</v>
      </c>
      <c r="G22" s="24" t="n"/>
      <c r="H22" s="24" t="n"/>
      <c r="I22" s="26" t="n">
        <v>45939.99930555555</v>
      </c>
      <c r="J22" s="26">
        <f>DATE(YEAR(Setup!$C$4),MONTH(Setup!$C$4),DAY(Setup!$C$4)+((D22-1)*7)+(E22-WEEKDAY(DATE(YEAR(Setup!$C$4),MONTH(Setup!$C$4),DAY(Setup!$C$4)),1)))</f>
        <v/>
      </c>
      <c r="K22" s="26">
        <f>J22+3</f>
        <v/>
      </c>
      <c r="L22" s="26">
        <f>I22+14</f>
        <v/>
      </c>
      <c r="M22" s="23">
        <f>F22*G22</f>
        <v/>
      </c>
      <c r="N22" s="1" t="inlineStr">
        <is>
          <t>A1.2 Code-along: Program Has Errors</t>
        </is>
      </c>
      <c r="O22" s="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23">
      <c r="A23" s="1" t="inlineStr">
        <is>
          <t>CSEPC110M</t>
        </is>
      </c>
      <c r="B23" s="1" t="inlineStr">
        <is>
          <t>Quiz Question</t>
        </is>
      </c>
      <c r="C23" s="1" t="inlineStr">
        <is>
          <t>A2.2 Code-along Activity: Personal Budget; Question 1: Does the program you wrote run without errors; Answer: No</t>
        </is>
      </c>
      <c r="D23" s="23" t="n">
        <v>1</v>
      </c>
      <c r="E23" s="23" t="n">
        <v>1</v>
      </c>
      <c r="G23" s="24" t="n"/>
      <c r="H23" s="24" t="n"/>
      <c r="I23" s="26" t="n">
        <v>45944.99930555555</v>
      </c>
      <c r="J23" s="26">
        <f>DATE(YEAR(Setup!$C$4),MONTH(Setup!$C$4),DAY(Setup!$C$4)+((D23-1)*7)+(E23-WEEKDAY(DATE(YEAR(Setup!$C$4),MONTH(Setup!$C$4),DAY(Setup!$C$4)),1)))</f>
        <v/>
      </c>
      <c r="K23" s="26">
        <f>J23+3</f>
        <v/>
      </c>
      <c r="L23" s="26">
        <f>I23+14</f>
        <v/>
      </c>
      <c r="M23" s="23">
        <f>F23*G23</f>
        <v/>
      </c>
      <c r="N23" s="1" t="inlineStr">
        <is>
          <t>A2.2 Code-along: Program Has Errors</t>
        </is>
      </c>
      <c r="O23" s="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24">
      <c r="A24" s="1" t="inlineStr">
        <is>
          <t>CSEPC110M</t>
        </is>
      </c>
      <c r="B24" s="1" t="inlineStr">
        <is>
          <t>Scheduled - Not Logged In</t>
        </is>
      </c>
      <c r="C24" s="1" t="inlineStr">
        <is>
          <t>Not Logged into Canvas</t>
        </is>
      </c>
      <c r="D24" s="23" t="n">
        <v>1</v>
      </c>
      <c r="E24" s="23" t="n">
        <v>4</v>
      </c>
      <c r="G24" s="24" t="n"/>
      <c r="H24" s="24" t="n"/>
      <c r="I24" s="26" t="n"/>
      <c r="J24" s="26">
        <f>DATE(YEAR(Setup!$C$4),MONTH(Setup!$C$4),DAY(Setup!$C$4)+((D24-1)*7)+(E24-WEEKDAY(DATE(YEAR(Setup!$C$4),MONTH(Setup!$C$4),DAY(Setup!$C$4)),1)))</f>
        <v/>
      </c>
      <c r="K24" s="26">
        <f>J24+3</f>
        <v/>
      </c>
      <c r="L24" s="26">
        <f>(J24 + (7 - WEEKDAY(J24,1))) + 1</f>
        <v/>
      </c>
      <c r="M24" s="23">
        <f>F24*G24</f>
        <v/>
      </c>
      <c r="N24" s="1" t="inlineStr">
        <is>
          <t>Not Logged Into Canvas</t>
        </is>
      </c>
      <c r="O24" s="1" t="inlineStr">
        <is>
          <t>Send a message (outside of Canvas) to students who have not logged into Canvas encouraging them to log in before Monday of Week 2.</t>
        </is>
      </c>
    </row>
    <row r="25">
      <c r="A25" s="1" t="inlineStr">
        <is>
          <t>CSEPC110M</t>
        </is>
      </c>
      <c r="B25" s="1" t="inlineStr">
        <is>
          <t>Missing Assignment</t>
        </is>
      </c>
      <c r="C25" s="1" t="inlineStr">
        <is>
          <t>1.1 Learning Activities: Input/Output</t>
        </is>
      </c>
      <c r="D25" s="23" t="n">
        <v>2</v>
      </c>
      <c r="E25" s="23" t="n">
        <v>1</v>
      </c>
      <c r="G25" s="24" t="n"/>
      <c r="H25" s="24" t="n"/>
      <c r="I25" s="26" t="n">
        <v>45904.99930555555</v>
      </c>
      <c r="J25" s="26">
        <f>DATE(YEAR(Setup!$C$4),MONTH(Setup!$C$4),DAY(Setup!$C$4)+((D25-1)*7)+(E25-WEEKDAY(DATE(YEAR(Setup!$C$4),MONTH(Setup!$C$4),DAY(Setup!$C$4)),1)))</f>
        <v/>
      </c>
      <c r="K25" s="26">
        <f>J25+3</f>
        <v/>
      </c>
      <c r="L25" s="26">
        <f>I25+14</f>
        <v/>
      </c>
      <c r="M25" s="23">
        <f>F25*G25</f>
        <v/>
      </c>
      <c r="N25" s="1" t="inlineStr">
        <is>
          <t>Missing 1.1 Learning Activities</t>
        </is>
      </c>
      <c r="O25" s="1" t="inlineStr">
        <is>
          <t xml:space="preserve">This student is falling behind the recommended schedule for this course. Check in with this student, offer help, and send a message of encouragement for the student to submit this assignment. </t>
        </is>
      </c>
    </row>
    <row r="26">
      <c r="A26" s="1" t="inlineStr">
        <is>
          <t>CSEPC110M</t>
        </is>
      </c>
      <c r="B26" s="1" t="inlineStr">
        <is>
          <t>Missing Assignment</t>
        </is>
      </c>
      <c r="C26" s="1" t="inlineStr">
        <is>
          <t>1.2 Code-along Activity: ID Badge Generator</t>
        </is>
      </c>
      <c r="D26" s="23" t="n">
        <v>2</v>
      </c>
      <c r="E26" s="23" t="n">
        <v>1</v>
      </c>
      <c r="G26" s="24" t="n"/>
      <c r="H26" s="24" t="n"/>
      <c r="I26" s="26" t="n">
        <v>45904.99930555555</v>
      </c>
      <c r="J26" s="26">
        <f>DATE(YEAR(Setup!$C$4),MONTH(Setup!$C$4),DAY(Setup!$C$4)+((D26-1)*7)+(E26-WEEKDAY(DATE(YEAR(Setup!$C$4),MONTH(Setup!$C$4),DAY(Setup!$C$4)),1)))</f>
        <v/>
      </c>
      <c r="K26" s="26">
        <f>J26+3</f>
        <v/>
      </c>
      <c r="L26" s="26">
        <f>I26+14</f>
        <v/>
      </c>
      <c r="M26" s="23">
        <f>F26*G26</f>
        <v/>
      </c>
      <c r="N26" s="1" t="inlineStr">
        <is>
          <t>Missing 1.2 Code-along Activity</t>
        </is>
      </c>
      <c r="O26" s="1" t="inlineStr">
        <is>
          <t xml:space="preserve">This student is falling behind the recommended schedule for this course. Check in with this student, offer help, and send a message of encouragement for the student to submit this assignment. </t>
        </is>
      </c>
    </row>
    <row r="27">
      <c r="A27" s="1" t="inlineStr">
        <is>
          <t>CSEPC110M</t>
        </is>
      </c>
      <c r="B27" s="1" t="inlineStr">
        <is>
          <t>Missing Assignment</t>
        </is>
      </c>
      <c r="C27" s="1" t="inlineStr">
        <is>
          <t>1.3.1 Quiz: Input/Output - Basic Understanding</t>
        </is>
      </c>
      <c r="D27" s="23" t="n">
        <v>2</v>
      </c>
      <c r="E27" s="23" t="n">
        <v>1</v>
      </c>
      <c r="G27" s="24" t="n"/>
      <c r="H27" s="24" t="n"/>
      <c r="I27" s="26" t="n">
        <v>45904.99930555555</v>
      </c>
      <c r="J27" s="26">
        <f>DATE(YEAR(Setup!$C$4),MONTH(Setup!$C$4),DAY(Setup!$C$4)+((D27-1)*7)+(E27-WEEKDAY(DATE(YEAR(Setup!$C$4),MONTH(Setup!$C$4),DAY(Setup!$C$4)),1)))</f>
        <v/>
      </c>
      <c r="K27" s="26">
        <f>J27+3</f>
        <v/>
      </c>
      <c r="L27" s="26">
        <f>I27+14</f>
        <v/>
      </c>
      <c r="M27" s="23">
        <f>F27*G27</f>
        <v/>
      </c>
      <c r="N27" s="1" t="inlineStr">
        <is>
          <t>Missing 1.3.1 Quiz: Input/Output</t>
        </is>
      </c>
      <c r="O27" s="1" t="inlineStr">
        <is>
          <t xml:space="preserve">This student is falling behind the recommended schedule for this course. Check in with this student, offer help, and send a message of encouragement for the student to submit this assignment. </t>
        </is>
      </c>
    </row>
    <row r="28">
      <c r="A28" s="1" t="inlineStr">
        <is>
          <t>CSEPC110M</t>
        </is>
      </c>
      <c r="B28" s="1" t="inlineStr">
        <is>
          <t>Missing Assignment</t>
        </is>
      </c>
      <c r="C28" s="1" t="inlineStr">
        <is>
          <t>1.3.2 Quiz: Input/Output - Application and Reasoning</t>
        </is>
      </c>
      <c r="D28" s="23" t="n">
        <v>2</v>
      </c>
      <c r="E28" s="23" t="n">
        <v>1</v>
      </c>
      <c r="G28" s="24" t="n"/>
      <c r="H28" s="24" t="n"/>
      <c r="I28" s="26" t="n">
        <v>45904.99930555555</v>
      </c>
      <c r="J28" s="26">
        <f>DATE(YEAR(Setup!$C$4),MONTH(Setup!$C$4),DAY(Setup!$C$4)+((D28-1)*7)+(E28-WEEKDAY(DATE(YEAR(Setup!$C$4),MONTH(Setup!$C$4),DAY(Setup!$C$4)),1)))</f>
        <v/>
      </c>
      <c r="K28" s="26">
        <f>J28+3</f>
        <v/>
      </c>
      <c r="L28" s="26">
        <f>I28+14</f>
        <v/>
      </c>
      <c r="M28" s="23">
        <f>F28*G28</f>
        <v/>
      </c>
      <c r="N28" s="1" t="inlineStr">
        <is>
          <t>Missing 1.3.2 Quiz: Input/Output</t>
        </is>
      </c>
      <c r="O28" s="1" t="inlineStr">
        <is>
          <t xml:space="preserve">This student is falling behind the recommended schedule for this course. Check in with this student, offer help, and send a message of encouragement for the student to submit this assignment. </t>
        </is>
      </c>
    </row>
    <row r="29">
      <c r="A29" s="1" t="inlineStr">
        <is>
          <t>CSEPC110M</t>
        </is>
      </c>
      <c r="B29" s="1" t="inlineStr">
        <is>
          <t>Missing Assignment</t>
        </is>
      </c>
      <c r="C29" s="1" t="inlineStr">
        <is>
          <t>1.4 Project: Clever Stories</t>
        </is>
      </c>
      <c r="D29" s="23" t="n">
        <v>2</v>
      </c>
      <c r="E29" s="23" t="n">
        <v>1</v>
      </c>
      <c r="G29" s="24" t="n"/>
      <c r="H29" s="24" t="n"/>
      <c r="I29" s="26" t="n">
        <v>45906.99930555555</v>
      </c>
      <c r="J29" s="26">
        <f>DATE(YEAR(Setup!$C$4),MONTH(Setup!$C$4),DAY(Setup!$C$4)+((D29-1)*7)+(E29-WEEKDAY(DATE(YEAR(Setup!$C$4),MONTH(Setup!$C$4),DAY(Setup!$C$4)),1)))</f>
        <v/>
      </c>
      <c r="K29" s="26">
        <f>J29+3</f>
        <v/>
      </c>
      <c r="L29" s="26">
        <f>I29+14</f>
        <v/>
      </c>
      <c r="M29" s="23">
        <f>F29*G29</f>
        <v/>
      </c>
      <c r="N29" s="1" t="inlineStr">
        <is>
          <t>Missing 1.4 Project: Clever Stories</t>
        </is>
      </c>
      <c r="O29" s="1" t="inlineStr">
        <is>
          <t xml:space="preserve">This student is falling behind the recommended schedule for this course. Check in with this student, offer help, and send a message of encouragement for the student to submit this assignment. </t>
        </is>
      </c>
    </row>
    <row r="30">
      <c r="A30" s="1" t="inlineStr">
        <is>
          <t>CSEPC110M</t>
        </is>
      </c>
      <c r="B30" s="1" t="inlineStr">
        <is>
          <t>Missing Assignment</t>
        </is>
      </c>
      <c r="C30" s="1" t="inlineStr">
        <is>
          <t>2.1 Learning Activities: Variables and Expressions</t>
        </is>
      </c>
      <c r="D30" s="23" t="n">
        <v>3</v>
      </c>
      <c r="E30" s="23" t="n">
        <v>1</v>
      </c>
      <c r="G30" s="24" t="n"/>
      <c r="H30" s="24" t="n"/>
      <c r="I30" s="26" t="n">
        <v>45911.99930555555</v>
      </c>
      <c r="J30" s="26">
        <f>DATE(YEAR(Setup!$C$4),MONTH(Setup!$C$4),DAY(Setup!$C$4)+((D30-1)*7)+(E30-WEEKDAY(DATE(YEAR(Setup!$C$4),MONTH(Setup!$C$4),DAY(Setup!$C$4)),1)))</f>
        <v/>
      </c>
      <c r="K30" s="26">
        <f>J30+3</f>
        <v/>
      </c>
      <c r="L30" s="26">
        <f>I30+14</f>
        <v/>
      </c>
      <c r="M30" s="23">
        <f>F30*G30</f>
        <v/>
      </c>
      <c r="N30" s="1" t="inlineStr">
        <is>
          <t>Missing 2.1 Learning Activities</t>
        </is>
      </c>
      <c r="O30" s="1" t="inlineStr">
        <is>
          <t xml:space="preserve">This student is falling behind the recommended schedule for this course. Check in with this student, offer help, and send a message of encouragement for the student to submit this assignment. </t>
        </is>
      </c>
    </row>
    <row r="31">
      <c r="A31" s="1" t="inlineStr">
        <is>
          <t>CSEPC110M</t>
        </is>
      </c>
      <c r="B31" s="1" t="inlineStr">
        <is>
          <t>Missing Assignment</t>
        </is>
      </c>
      <c r="C31" s="1" t="inlineStr">
        <is>
          <t>2.2 Code-along Activity: Areas of Shapes</t>
        </is>
      </c>
      <c r="D31" s="23" t="n">
        <v>3</v>
      </c>
      <c r="E31" s="23" t="n">
        <v>1</v>
      </c>
      <c r="G31" s="24" t="n"/>
      <c r="H31" s="24" t="n"/>
      <c r="I31" s="26" t="n">
        <v>45911.99930555555</v>
      </c>
      <c r="J31" s="26">
        <f>DATE(YEAR(Setup!$C$4),MONTH(Setup!$C$4),DAY(Setup!$C$4)+((D31-1)*7)+(E31-WEEKDAY(DATE(YEAR(Setup!$C$4),MONTH(Setup!$C$4),DAY(Setup!$C$4)),1)))</f>
        <v/>
      </c>
      <c r="K31" s="26">
        <f>J31+3</f>
        <v/>
      </c>
      <c r="L31" s="26">
        <f>I31+14</f>
        <v/>
      </c>
      <c r="M31" s="23">
        <f>F31*G31</f>
        <v/>
      </c>
      <c r="N31" s="1" t="inlineStr">
        <is>
          <t>Missing 2.2 Code-along Activity</t>
        </is>
      </c>
      <c r="O31" s="1" t="inlineStr">
        <is>
          <t xml:space="preserve">This student is falling behind the recommended schedule for this course. Check in with this student, offer help, and send a message of encouragement for the student to submit this assignment. </t>
        </is>
      </c>
    </row>
    <row r="32">
      <c r="A32" s="1" t="inlineStr">
        <is>
          <t>CSEPC110M</t>
        </is>
      </c>
      <c r="B32" s="1" t="inlineStr">
        <is>
          <t>Missing Assignment</t>
        </is>
      </c>
      <c r="C32" s="1" t="inlineStr">
        <is>
          <t>2.3.1 Quiz: Variables and Expressions - Basic Understanding</t>
        </is>
      </c>
      <c r="D32" s="23" t="n">
        <v>3</v>
      </c>
      <c r="E32" s="23" t="n">
        <v>1</v>
      </c>
      <c r="G32" s="24" t="n"/>
      <c r="H32" s="24" t="n"/>
      <c r="I32" s="26" t="n">
        <v>45911.99930555555</v>
      </c>
      <c r="J32" s="26">
        <f>DATE(YEAR(Setup!$C$4),MONTH(Setup!$C$4),DAY(Setup!$C$4)+((D32-1)*7)+(E32-WEEKDAY(DATE(YEAR(Setup!$C$4),MONTH(Setup!$C$4),DAY(Setup!$C$4)),1)))</f>
        <v/>
      </c>
      <c r="K32" s="26">
        <f>J32+3</f>
        <v/>
      </c>
      <c r="L32" s="26">
        <f>I32+14</f>
        <v/>
      </c>
      <c r="M32" s="23">
        <f>F32*G32</f>
        <v/>
      </c>
      <c r="N32" s="1" t="inlineStr">
        <is>
          <t>Missing 2.3.1 Quiz: Variables and Expressions</t>
        </is>
      </c>
      <c r="O32" s="1" t="inlineStr">
        <is>
          <t xml:space="preserve">This student is falling behind the recommended schedule for this course. Check in with this student, offer help, and send a message of encouragement for the student to submit this assignment. </t>
        </is>
      </c>
    </row>
    <row r="33">
      <c r="A33" s="1" t="inlineStr">
        <is>
          <t>CSEPC110M</t>
        </is>
      </c>
      <c r="B33" s="1" t="inlineStr">
        <is>
          <t>Missing Assignment</t>
        </is>
      </c>
      <c r="C33" s="1" t="inlineStr">
        <is>
          <t>2.3.2 Quiz: Variables and Expressions - Application and Reasoning</t>
        </is>
      </c>
      <c r="D33" s="23" t="n">
        <v>3</v>
      </c>
      <c r="E33" s="23" t="n">
        <v>1</v>
      </c>
      <c r="G33" s="24" t="n"/>
      <c r="H33" s="24" t="n"/>
      <c r="I33" s="26" t="n">
        <v>45911.99930555555</v>
      </c>
      <c r="J33" s="26">
        <f>DATE(YEAR(Setup!$C$4),MONTH(Setup!$C$4),DAY(Setup!$C$4)+((D33-1)*7)+(E33-WEEKDAY(DATE(YEAR(Setup!$C$4),MONTH(Setup!$C$4),DAY(Setup!$C$4)),1)))</f>
        <v/>
      </c>
      <c r="K33" s="26">
        <f>J33+3</f>
        <v/>
      </c>
      <c r="L33" s="26">
        <f>I33+14</f>
        <v/>
      </c>
      <c r="M33" s="23">
        <f>F33*G33</f>
        <v/>
      </c>
      <c r="N33" s="1" t="inlineStr">
        <is>
          <t>Missing 2.3.2 Quiz: Variables and Expressions</t>
        </is>
      </c>
      <c r="O33" s="1" t="inlineStr">
        <is>
          <t xml:space="preserve">This student is falling behind the recommended schedule for this course. Check in with this student, offer help, and send a message of encouragement for the student to submit this assignment. </t>
        </is>
      </c>
    </row>
    <row r="34">
      <c r="A34" s="1" t="inlineStr">
        <is>
          <t>CSEPC110M</t>
        </is>
      </c>
      <c r="B34" s="1" t="inlineStr">
        <is>
          <t>Missing Assignment</t>
        </is>
      </c>
      <c r="C34" s="1" t="inlineStr">
        <is>
          <t>2.4 Project: Meal Price Calculator</t>
        </is>
      </c>
      <c r="D34" s="23" t="n">
        <v>3</v>
      </c>
      <c r="E34" s="23" t="n">
        <v>1</v>
      </c>
      <c r="G34" s="24" t="n"/>
      <c r="H34" s="24" t="n"/>
      <c r="I34" s="26" t="n">
        <v>45913.99930555555</v>
      </c>
      <c r="J34" s="26">
        <f>DATE(YEAR(Setup!$C$4),MONTH(Setup!$C$4),DAY(Setup!$C$4)+((D34-1)*7)+(E34-WEEKDAY(DATE(YEAR(Setup!$C$4),MONTH(Setup!$C$4),DAY(Setup!$C$4)),1)))</f>
        <v/>
      </c>
      <c r="K34" s="26">
        <f>J34+3</f>
        <v/>
      </c>
      <c r="L34" s="26">
        <f>I34+14</f>
        <v/>
      </c>
      <c r="M34" s="23">
        <f>F34*G34</f>
        <v/>
      </c>
      <c r="N34" s="1" t="inlineStr">
        <is>
          <t>Missing 2.4 Project: Meal Price Calculator</t>
        </is>
      </c>
      <c r="O34" s="1" t="inlineStr">
        <is>
          <t xml:space="preserve">This student is falling behind the recommended schedule for this course. Check in with this student, offer help, and send a message of encouragement for the student to submit this assignment. </t>
        </is>
      </c>
    </row>
    <row r="35">
      <c r="A35" s="1" t="inlineStr">
        <is>
          <t>CSEPC110M</t>
        </is>
      </c>
      <c r="B35" s="1" t="inlineStr">
        <is>
          <t>Missing Assignment</t>
        </is>
      </c>
      <c r="C35" s="1" t="inlineStr">
        <is>
          <t>3.1 Learning Activities: Decisions</t>
        </is>
      </c>
      <c r="D35" s="23" t="n">
        <v>4</v>
      </c>
      <c r="E35" s="23" t="n">
        <v>1</v>
      </c>
      <c r="G35" s="24" t="n"/>
      <c r="H35" s="24" t="n"/>
      <c r="I35" s="26" t="n">
        <v>45918.99930555555</v>
      </c>
      <c r="J35" s="26">
        <f>DATE(YEAR(Setup!$C$4),MONTH(Setup!$C$4),DAY(Setup!$C$4)+((D35-1)*7)+(E35-WEEKDAY(DATE(YEAR(Setup!$C$4),MONTH(Setup!$C$4),DAY(Setup!$C$4)),1)))</f>
        <v/>
      </c>
      <c r="K35" s="26">
        <f>J35+3</f>
        <v/>
      </c>
      <c r="L35" s="26">
        <f>I35+14</f>
        <v/>
      </c>
      <c r="M35" s="23">
        <f>F35*G35</f>
        <v/>
      </c>
      <c r="N35" s="1" t="inlineStr">
        <is>
          <t>Missing 3.1 Learning Activities</t>
        </is>
      </c>
      <c r="O35" s="1" t="inlineStr">
        <is>
          <t xml:space="preserve">This student is falling behind the recommended schedule for this course. Check in with this student, offer help, and send a message of encouragement for the student to submit this assignment. </t>
        </is>
      </c>
    </row>
    <row r="36">
      <c r="A36" s="1" t="inlineStr">
        <is>
          <t>CSEPC110M</t>
        </is>
      </c>
      <c r="B36" s="1" t="inlineStr">
        <is>
          <t>Missing Assignment</t>
        </is>
      </c>
      <c r="C36" s="1" t="inlineStr">
        <is>
          <t>3.2 Code-along Activity: Grade Calculator Program</t>
        </is>
      </c>
      <c r="D36" s="23" t="n">
        <v>4</v>
      </c>
      <c r="E36" s="23" t="n">
        <v>1</v>
      </c>
      <c r="G36" s="24" t="n"/>
      <c r="H36" s="24" t="n"/>
      <c r="I36" s="26" t="n">
        <v>45918.99930555555</v>
      </c>
      <c r="J36" s="26">
        <f>DATE(YEAR(Setup!$C$4),MONTH(Setup!$C$4),DAY(Setup!$C$4)+((D36-1)*7)+(E36-WEEKDAY(DATE(YEAR(Setup!$C$4),MONTH(Setup!$C$4),DAY(Setup!$C$4)),1)))</f>
        <v/>
      </c>
      <c r="K36" s="26">
        <f>J36+3</f>
        <v/>
      </c>
      <c r="L36" s="26">
        <f>I36+14</f>
        <v/>
      </c>
      <c r="M36" s="23">
        <f>F36*G36</f>
        <v/>
      </c>
      <c r="N36" s="1" t="inlineStr">
        <is>
          <t>Missing 3.2 Code-along Activity</t>
        </is>
      </c>
      <c r="O36" s="1" t="inlineStr">
        <is>
          <t xml:space="preserve">This student is falling behind the recommended schedule for this course. Check in with this student, offer help, and send a message of encouragement for the student to submit this assignment. </t>
        </is>
      </c>
    </row>
    <row r="37">
      <c r="A37" s="1" t="inlineStr">
        <is>
          <t>CSEPC110M</t>
        </is>
      </c>
      <c r="B37" s="1" t="inlineStr">
        <is>
          <t>Missing Assignment</t>
        </is>
      </c>
      <c r="C37" s="1" t="inlineStr">
        <is>
          <t>3.3.1 Quiz: Decisions - Basic Understanding</t>
        </is>
      </c>
      <c r="D37" s="23" t="n">
        <v>4</v>
      </c>
      <c r="E37" s="23" t="n">
        <v>1</v>
      </c>
      <c r="G37" s="24" t="n"/>
      <c r="H37" s="24" t="n"/>
      <c r="I37" s="26" t="n">
        <v>45918.99930555555</v>
      </c>
      <c r="J37" s="26">
        <f>DATE(YEAR(Setup!$C$4),MONTH(Setup!$C$4),DAY(Setup!$C$4)+((D37-1)*7)+(E37-WEEKDAY(DATE(YEAR(Setup!$C$4),MONTH(Setup!$C$4),DAY(Setup!$C$4)),1)))</f>
        <v/>
      </c>
      <c r="K37" s="26">
        <f>J37+3</f>
        <v/>
      </c>
      <c r="L37" s="26">
        <f>I37+14</f>
        <v/>
      </c>
      <c r="M37" s="23">
        <f>F37*G37</f>
        <v/>
      </c>
      <c r="N37" s="1" t="inlineStr">
        <is>
          <t>Missing 3.3.1 Quiz: Decisions</t>
        </is>
      </c>
      <c r="O37" s="1" t="inlineStr">
        <is>
          <t xml:space="preserve">This student is falling behind the recommended schedule for this course. Check in with this student, offer help, and send a message of encouragement for the student to submit this assignment. </t>
        </is>
      </c>
    </row>
    <row r="38">
      <c r="A38" s="1" t="inlineStr">
        <is>
          <t>CSEPC110M</t>
        </is>
      </c>
      <c r="B38" s="1" t="inlineStr">
        <is>
          <t>Missing Assignment</t>
        </is>
      </c>
      <c r="C38" s="1" t="inlineStr">
        <is>
          <t>3.3.2 Quiz: Decisions - Application and Reasoning</t>
        </is>
      </c>
      <c r="D38" s="23" t="n">
        <v>4</v>
      </c>
      <c r="E38" s="23" t="n">
        <v>1</v>
      </c>
      <c r="G38" s="24" t="n"/>
      <c r="H38" s="24" t="n"/>
      <c r="I38" s="26" t="n">
        <v>45918.99930555555</v>
      </c>
      <c r="J38" s="26">
        <f>DATE(YEAR(Setup!$C$4),MONTH(Setup!$C$4),DAY(Setup!$C$4)+((D38-1)*7)+(E38-WEEKDAY(DATE(YEAR(Setup!$C$4),MONTH(Setup!$C$4),DAY(Setup!$C$4)),1)))</f>
        <v/>
      </c>
      <c r="K38" s="26">
        <f>J38+3</f>
        <v/>
      </c>
      <c r="L38" s="26">
        <f>I38+14</f>
        <v/>
      </c>
      <c r="M38" s="23">
        <f>F38*G38</f>
        <v/>
      </c>
      <c r="N38" s="1" t="inlineStr">
        <is>
          <t>Missing 3.3.2 Quiz: Decisions</t>
        </is>
      </c>
      <c r="O38" s="1" t="inlineStr">
        <is>
          <t xml:space="preserve">This student is falling behind the recommended schedule for this course. Check in with this student, offer help, and send a message of encouragement for the student to submit this assignment. </t>
        </is>
      </c>
    </row>
    <row r="39">
      <c r="A39" s="1" t="inlineStr">
        <is>
          <t>CSEPC110M</t>
        </is>
      </c>
      <c r="B39" s="1" t="inlineStr">
        <is>
          <t>Missing Assignment</t>
        </is>
      </c>
      <c r="C39" s="1" t="inlineStr">
        <is>
          <t>3.4 Project: Adventure Game</t>
        </is>
      </c>
      <c r="D39" s="23" t="n">
        <v>4</v>
      </c>
      <c r="E39" s="23" t="n">
        <v>1</v>
      </c>
      <c r="G39" s="24" t="n"/>
      <c r="H39" s="24" t="n"/>
      <c r="I39" s="26" t="n">
        <v>45920.99930555555</v>
      </c>
      <c r="J39" s="26">
        <f>DATE(YEAR(Setup!$C$4),MONTH(Setup!$C$4),DAY(Setup!$C$4)+((D39-1)*7)+(E39-WEEKDAY(DATE(YEAR(Setup!$C$4),MONTH(Setup!$C$4),DAY(Setup!$C$4)),1)))</f>
        <v/>
      </c>
      <c r="K39" s="26">
        <f>J39+3</f>
        <v/>
      </c>
      <c r="L39" s="26">
        <f>I39+14</f>
        <v/>
      </c>
      <c r="M39" s="23">
        <f>F39*G39</f>
        <v/>
      </c>
      <c r="N39" s="1" t="inlineStr">
        <is>
          <t>Missing 3.4 Project: Adventure Game</t>
        </is>
      </c>
      <c r="O39" s="1" t="inlineStr">
        <is>
          <t xml:space="preserve">This student is falling behind the recommended schedule for this course. Check in with this student, offer help, and send a message of encouragement for the student to submit this assignment. </t>
        </is>
      </c>
    </row>
    <row r="40">
      <c r="A40" s="1" t="inlineStr">
        <is>
          <t>CSEPC110M</t>
        </is>
      </c>
      <c r="B40" s="1" t="inlineStr">
        <is>
          <t>Missing Assignment</t>
        </is>
      </c>
      <c r="C40" s="1" t="inlineStr">
        <is>
          <t>4.1 Learning Activities: Loops</t>
        </is>
      </c>
      <c r="D40" s="23" t="n">
        <v>5</v>
      </c>
      <c r="E40" s="23" t="n">
        <v>1</v>
      </c>
      <c r="G40" s="24" t="n"/>
      <c r="H40" s="24" t="n"/>
      <c r="I40" s="26" t="n">
        <v>45925.99930555555</v>
      </c>
      <c r="J40" s="26">
        <f>DATE(YEAR(Setup!$C$4),MONTH(Setup!$C$4),DAY(Setup!$C$4)+((D40-1)*7)+(E40-WEEKDAY(DATE(YEAR(Setup!$C$4),MONTH(Setup!$C$4),DAY(Setup!$C$4)),1)))</f>
        <v/>
      </c>
      <c r="K40" s="26">
        <f>J40+3</f>
        <v/>
      </c>
      <c r="L40" s="26">
        <f>I40+14</f>
        <v/>
      </c>
      <c r="M40" s="23">
        <f>F40*G40</f>
        <v/>
      </c>
      <c r="N40" s="1" t="inlineStr">
        <is>
          <t>Missing 4.1 Learning Activities</t>
        </is>
      </c>
      <c r="O40" s="1" t="inlineStr">
        <is>
          <t xml:space="preserve">This student is falling behind the recommended schedule for this course. Check in with this student, offer help, and send a message of encouragement for the student to submit this assignment. </t>
        </is>
      </c>
    </row>
    <row r="41">
      <c r="A41" s="1" t="inlineStr">
        <is>
          <t>CSEPC110M</t>
        </is>
      </c>
      <c r="B41" s="1" t="inlineStr">
        <is>
          <t>Missing Assignment</t>
        </is>
      </c>
      <c r="C41" s="1" t="inlineStr">
        <is>
          <t>4.2 Code-along Activity: Guess My Number Game</t>
        </is>
      </c>
      <c r="D41" s="23" t="n">
        <v>5</v>
      </c>
      <c r="E41" s="23" t="n">
        <v>1</v>
      </c>
      <c r="G41" s="24" t="n"/>
      <c r="H41" s="24" t="n"/>
      <c r="I41" s="26" t="n">
        <v>45925.99930555555</v>
      </c>
      <c r="J41" s="26">
        <f>DATE(YEAR(Setup!$C$4),MONTH(Setup!$C$4),DAY(Setup!$C$4)+((D41-1)*7)+(E41-WEEKDAY(DATE(YEAR(Setup!$C$4),MONTH(Setup!$C$4),DAY(Setup!$C$4)),1)))</f>
        <v/>
      </c>
      <c r="K41" s="26">
        <f>J41+3</f>
        <v/>
      </c>
      <c r="L41" s="26">
        <f>I41+14</f>
        <v/>
      </c>
      <c r="M41" s="23">
        <f>F41*G41</f>
        <v/>
      </c>
      <c r="N41" s="1" t="inlineStr">
        <is>
          <t>Missing 4.2 Code-along Activity</t>
        </is>
      </c>
      <c r="O41" s="1" t="inlineStr">
        <is>
          <t xml:space="preserve">This student is falling behind the recommended schedule for this course. Check in with this student, offer help, and send a message of encouragement for the student to submit this assignment. </t>
        </is>
      </c>
    </row>
    <row r="42">
      <c r="A42" s="1" t="inlineStr">
        <is>
          <t>CSEPC110M</t>
        </is>
      </c>
      <c r="B42" s="1" t="inlineStr">
        <is>
          <t>Missing Assignment</t>
        </is>
      </c>
      <c r="C42" s="1" t="inlineStr">
        <is>
          <t>4.3.1 Quiz: Loops - Basic Understanding</t>
        </is>
      </c>
      <c r="D42" s="23" t="n">
        <v>5</v>
      </c>
      <c r="E42" s="23" t="n">
        <v>1</v>
      </c>
      <c r="G42" s="24" t="n"/>
      <c r="H42" s="24" t="n"/>
      <c r="I42" s="26" t="n">
        <v>45925.99930555555</v>
      </c>
      <c r="J42" s="26">
        <f>DATE(YEAR(Setup!$C$4),MONTH(Setup!$C$4),DAY(Setup!$C$4)+((D42-1)*7)+(E42-WEEKDAY(DATE(YEAR(Setup!$C$4),MONTH(Setup!$C$4),DAY(Setup!$C$4)),1)))</f>
        <v/>
      </c>
      <c r="K42" s="26">
        <f>J42+3</f>
        <v/>
      </c>
      <c r="L42" s="26">
        <f>I42+14</f>
        <v/>
      </c>
      <c r="M42" s="23">
        <f>F42*G42</f>
        <v/>
      </c>
      <c r="N42" s="1" t="inlineStr">
        <is>
          <t>Missing 4.3.1 Quiz: Loops</t>
        </is>
      </c>
      <c r="O42" s="1" t="inlineStr">
        <is>
          <t xml:space="preserve">This student is falling behind the recommended schedule for this course. Check in with this student, offer help, and send a message of encouragement for the student to submit this assignment. </t>
        </is>
      </c>
    </row>
    <row r="43">
      <c r="A43" s="1" t="inlineStr">
        <is>
          <t>CSEPC110M</t>
        </is>
      </c>
      <c r="B43" s="1" t="inlineStr">
        <is>
          <t>Missing Assignment</t>
        </is>
      </c>
      <c r="C43" s="1" t="inlineStr">
        <is>
          <t>4.3.2 Quiz: Loops - Application and Reasoning</t>
        </is>
      </c>
      <c r="D43" s="23" t="n">
        <v>5</v>
      </c>
      <c r="E43" s="23" t="n">
        <v>1</v>
      </c>
      <c r="G43" s="24" t="n"/>
      <c r="H43" s="24" t="n"/>
      <c r="I43" s="26" t="n">
        <v>45925.99930555555</v>
      </c>
      <c r="J43" s="26">
        <f>DATE(YEAR(Setup!$C$4),MONTH(Setup!$C$4),DAY(Setup!$C$4)+((D43-1)*7)+(E43-WEEKDAY(DATE(YEAR(Setup!$C$4),MONTH(Setup!$C$4),DAY(Setup!$C$4)),1)))</f>
        <v/>
      </c>
      <c r="K43" s="26">
        <f>J43+3</f>
        <v/>
      </c>
      <c r="L43" s="26">
        <f>I43+14</f>
        <v/>
      </c>
      <c r="M43" s="23">
        <f>F43*G43</f>
        <v/>
      </c>
      <c r="N43" s="1" t="inlineStr">
        <is>
          <t>Missing 4.3.2 Quiz: Loops</t>
        </is>
      </c>
      <c r="O43" s="1" t="inlineStr">
        <is>
          <t xml:space="preserve">This student is falling behind the recommended schedule for this course. Check in with this student, offer help, and send a message of encouragement for the student to submit this assignment. </t>
        </is>
      </c>
    </row>
    <row r="44">
      <c r="A44" s="1" t="inlineStr">
        <is>
          <t>CSEPC110M</t>
        </is>
      </c>
      <c r="B44" s="1" t="inlineStr">
        <is>
          <t>Missing Assignment</t>
        </is>
      </c>
      <c r="C44" s="1" t="inlineStr">
        <is>
          <t>4.4 Project: Word Puzzle</t>
        </is>
      </c>
      <c r="D44" s="23" t="n">
        <v>5</v>
      </c>
      <c r="E44" s="23" t="n">
        <v>1</v>
      </c>
      <c r="G44" s="24" t="n"/>
      <c r="H44" s="24" t="n"/>
      <c r="I44" s="26" t="n">
        <v>45927.99930555555</v>
      </c>
      <c r="J44" s="26">
        <f>DATE(YEAR(Setup!$C$4),MONTH(Setup!$C$4),DAY(Setup!$C$4)+((D44-1)*7)+(E44-WEEKDAY(DATE(YEAR(Setup!$C$4),MONTH(Setup!$C$4),DAY(Setup!$C$4)),1)))</f>
        <v/>
      </c>
      <c r="K44" s="26">
        <f>J44+3</f>
        <v/>
      </c>
      <c r="L44" s="26">
        <f>I44+14</f>
        <v/>
      </c>
      <c r="M44" s="23">
        <f>F44*G44</f>
        <v/>
      </c>
      <c r="N44" s="1" t="inlineStr">
        <is>
          <t>Missing 4.4 Project: Word Puzzle</t>
        </is>
      </c>
      <c r="O44" s="1" t="inlineStr">
        <is>
          <t xml:space="preserve">This student is falling behind the recommended schedule for this course. Check in with this student, offer help, and send a message of encouragement for the student to submit this assignment. </t>
        </is>
      </c>
    </row>
    <row r="45">
      <c r="A45" s="1" t="inlineStr">
        <is>
          <t>CSEPC110M</t>
        </is>
      </c>
      <c r="B45" s="1" t="inlineStr">
        <is>
          <t>Missing Assignment</t>
        </is>
      </c>
      <c r="C45" s="1" t="inlineStr">
        <is>
          <t>5.1 Learning Activities: Lists</t>
        </is>
      </c>
      <c r="D45" s="23" t="n">
        <v>6</v>
      </c>
      <c r="E45" s="23" t="n">
        <v>1</v>
      </c>
      <c r="G45" s="24" t="n"/>
      <c r="H45" s="24" t="n"/>
      <c r="I45" s="26" t="n">
        <v>45932.99930555555</v>
      </c>
      <c r="J45" s="26">
        <f>DATE(YEAR(Setup!$C$4),MONTH(Setup!$C$4),DAY(Setup!$C$4)+((D45-1)*7)+(E45-WEEKDAY(DATE(YEAR(Setup!$C$4),MONTH(Setup!$C$4),DAY(Setup!$C$4)),1)))</f>
        <v/>
      </c>
      <c r="K45" s="26">
        <f>J45+3</f>
        <v/>
      </c>
      <c r="L45" s="26">
        <f>I45+14</f>
        <v/>
      </c>
      <c r="M45" s="23">
        <f>F45*G45</f>
        <v/>
      </c>
      <c r="N45" s="1" t="inlineStr">
        <is>
          <t>Missing 5.1 Learning Activities</t>
        </is>
      </c>
      <c r="O45" s="1" t="inlineStr">
        <is>
          <t xml:space="preserve">This student is falling behind the recommended schedule for this course. Check in with this student, offer help, and send a message of encouragement for the student to submit this assignment. </t>
        </is>
      </c>
    </row>
    <row r="46">
      <c r="A46" s="1" t="inlineStr">
        <is>
          <t>CSEPC110M</t>
        </is>
      </c>
      <c r="B46" s="1" t="inlineStr">
        <is>
          <t>Missing Assignment</t>
        </is>
      </c>
      <c r="C46" s="1" t="inlineStr">
        <is>
          <t>5.2 Code-along Activity: Lists of Numbers</t>
        </is>
      </c>
      <c r="D46" s="23" t="n">
        <v>6</v>
      </c>
      <c r="E46" s="23" t="n">
        <v>1</v>
      </c>
      <c r="G46" s="24" t="n"/>
      <c r="H46" s="24" t="n"/>
      <c r="I46" s="26" t="n">
        <v>45932.99930555555</v>
      </c>
      <c r="J46" s="26">
        <f>DATE(YEAR(Setup!$C$4),MONTH(Setup!$C$4),DAY(Setup!$C$4)+((D46-1)*7)+(E46-WEEKDAY(DATE(YEAR(Setup!$C$4),MONTH(Setup!$C$4),DAY(Setup!$C$4)),1)))</f>
        <v/>
      </c>
      <c r="K46" s="26">
        <f>J46+3</f>
        <v/>
      </c>
      <c r="L46" s="26">
        <f>I46+14</f>
        <v/>
      </c>
      <c r="M46" s="23">
        <f>F46*G46</f>
        <v/>
      </c>
      <c r="N46" s="1" t="inlineStr">
        <is>
          <t>Missing 5.2 Code-along Activity</t>
        </is>
      </c>
      <c r="O46" s="1" t="inlineStr">
        <is>
          <t xml:space="preserve">This student is falling behind the recommended schedule for this course. Check in with this student, offer help, and send a message of encouragement for the student to submit this assignment. </t>
        </is>
      </c>
    </row>
    <row r="47">
      <c r="A47" s="1" t="inlineStr">
        <is>
          <t>CSEPC110M</t>
        </is>
      </c>
      <c r="B47" s="1" t="inlineStr">
        <is>
          <t>Missing Assignment</t>
        </is>
      </c>
      <c r="C47" s="1" t="inlineStr">
        <is>
          <t>5.3.1 Quiz: Lists - Basic Understanding</t>
        </is>
      </c>
      <c r="D47" s="23" t="n">
        <v>6</v>
      </c>
      <c r="E47" s="23" t="n">
        <v>1</v>
      </c>
      <c r="G47" s="24" t="n"/>
      <c r="H47" s="24" t="n"/>
      <c r="I47" s="26" t="n">
        <v>45932.99930555555</v>
      </c>
      <c r="J47" s="26">
        <f>DATE(YEAR(Setup!$C$4),MONTH(Setup!$C$4),DAY(Setup!$C$4)+((D47-1)*7)+(E47-WEEKDAY(DATE(YEAR(Setup!$C$4),MONTH(Setup!$C$4),DAY(Setup!$C$4)),1)))</f>
        <v/>
      </c>
      <c r="K47" s="26">
        <f>J47+3</f>
        <v/>
      </c>
      <c r="L47" s="26">
        <f>I47+14</f>
        <v/>
      </c>
      <c r="M47" s="23">
        <f>F47*G47</f>
        <v/>
      </c>
      <c r="N47" s="1" t="inlineStr">
        <is>
          <t>Missing 5.3.1 Quiz: Lists</t>
        </is>
      </c>
      <c r="O47" s="1" t="inlineStr">
        <is>
          <t xml:space="preserve">This student is falling behind the recommended schedule for this course. Check in with this student, offer help, and send a message of encouragement for the student to submit this assignment. </t>
        </is>
      </c>
    </row>
    <row r="48" ht="15.95" customHeight="1">
      <c r="A48" s="1" t="inlineStr">
        <is>
          <t>CSEPC110M</t>
        </is>
      </c>
      <c r="B48" s="3" t="inlineStr">
        <is>
          <t>Missing Assignment</t>
        </is>
      </c>
      <c r="C48" s="1" t="inlineStr">
        <is>
          <t>5.3.2 Quiz: Lists - Application and Reasoning</t>
        </is>
      </c>
      <c r="D48" s="23" t="n">
        <v>6</v>
      </c>
      <c r="E48" s="23" t="n">
        <v>1</v>
      </c>
      <c r="G48" s="24" t="n"/>
      <c r="H48" s="24" t="n"/>
      <c r="I48" s="26" t="n">
        <v>45932.99930555555</v>
      </c>
      <c r="J48" s="26">
        <f>DATE(YEAR(Setup!$C$4),MONTH(Setup!$C$4),DAY(Setup!$C$4)+((D48-1)*7)+(E48-WEEKDAY(DATE(YEAR(Setup!$C$4),MONTH(Setup!$C$4),DAY(Setup!$C$4)),1)))</f>
        <v/>
      </c>
      <c r="K48" s="26">
        <f>J48+3</f>
        <v/>
      </c>
      <c r="L48" s="26">
        <f>I48+14</f>
        <v/>
      </c>
      <c r="M48" s="23">
        <f>F48*G48</f>
        <v/>
      </c>
      <c r="N48" s="1" t="inlineStr">
        <is>
          <t>Missing 5.3.2 Quiz: Lists</t>
        </is>
      </c>
      <c r="O48" s="1" t="inlineStr">
        <is>
          <t xml:space="preserve">This student is falling behind the recommended schedule for this course. Check in with this student, offer help, and send a message of encouragement for the student to submit this assignment. </t>
        </is>
      </c>
    </row>
    <row r="49">
      <c r="A49" s="1" t="inlineStr">
        <is>
          <t>CSEPC110M</t>
        </is>
      </c>
      <c r="B49" s="1" t="inlineStr">
        <is>
          <t>Missing Assignment</t>
        </is>
      </c>
      <c r="C49" s="1" t="inlineStr">
        <is>
          <t>5.4 Project: Shopping Cart</t>
        </is>
      </c>
      <c r="D49" s="23" t="n">
        <v>6</v>
      </c>
      <c r="E49" s="23" t="n">
        <v>1</v>
      </c>
      <c r="G49" s="24" t="n"/>
      <c r="H49" s="24" t="n"/>
      <c r="I49" s="26" t="n">
        <v>45934.99930555555</v>
      </c>
      <c r="J49" s="26">
        <f>DATE(YEAR(Setup!$C$4),MONTH(Setup!$C$4),DAY(Setup!$C$4)+((D49-1)*7)+(E49-WEEKDAY(DATE(YEAR(Setup!$C$4),MONTH(Setup!$C$4),DAY(Setup!$C$4)),1)))</f>
        <v/>
      </c>
      <c r="K49" s="26">
        <f>J49+3</f>
        <v/>
      </c>
      <c r="L49" s="26">
        <f>I49+14</f>
        <v/>
      </c>
      <c r="M49" s="23">
        <f>F49*G49</f>
        <v/>
      </c>
      <c r="N49" s="1" t="inlineStr">
        <is>
          <t>Missing 5.4 Project: Shopping Cart</t>
        </is>
      </c>
      <c r="O49" s="1" t="inlineStr">
        <is>
          <t xml:space="preserve">This student is falling behind the recommended schedule for this course. Check in with this student, offer help, and send a message of encouragement for the student to submit this assignment. </t>
        </is>
      </c>
    </row>
    <row r="50">
      <c r="A50" s="1" t="inlineStr">
        <is>
          <t>CSEPC110M</t>
        </is>
      </c>
      <c r="B50" s="1" t="inlineStr">
        <is>
          <t>Missing Assignment</t>
        </is>
      </c>
      <c r="C50" s="1" t="inlineStr">
        <is>
          <t>A1.1 Learning Activities: Files</t>
        </is>
      </c>
      <c r="D50" s="23" t="n">
        <v>7</v>
      </c>
      <c r="E50" s="23" t="n">
        <v>1</v>
      </c>
      <c r="G50" s="24" t="n"/>
      <c r="H50" s="24" t="n"/>
      <c r="I50" s="26" t="n">
        <v>45939.99930555555</v>
      </c>
      <c r="J50" s="26">
        <f>DATE(YEAR(Setup!$C$4),MONTH(Setup!$C$4),DAY(Setup!$C$4)+((D50-1)*7)+(E50-WEEKDAY(DATE(YEAR(Setup!$C$4),MONTH(Setup!$C$4),DAY(Setup!$C$4)),1)))</f>
        <v/>
      </c>
      <c r="K50" s="26">
        <f>J50+3</f>
        <v/>
      </c>
      <c r="L50" s="26">
        <f>I50+14</f>
        <v/>
      </c>
      <c r="M50" s="23">
        <f>F50*G50</f>
        <v/>
      </c>
      <c r="N50" s="1" t="inlineStr">
        <is>
          <t>Missing A1.1 Learning Activities</t>
        </is>
      </c>
      <c r="O50" s="1" t="inlineStr">
        <is>
          <t xml:space="preserve">This student is falling behind the recommended schedule for this course. Check in with this student, offer help, and send a message of encouragement for the student to submit this assignment. </t>
        </is>
      </c>
    </row>
    <row r="51">
      <c r="A51" s="1" t="inlineStr">
        <is>
          <t>CSEPC110M</t>
        </is>
      </c>
      <c r="B51" s="1" t="inlineStr">
        <is>
          <t>Missing Assignment</t>
        </is>
      </c>
      <c r="C51" s="1" t="inlineStr">
        <is>
          <t>A1.2 Code-along Activity: Human Resource System</t>
        </is>
      </c>
      <c r="D51" s="23" t="n">
        <v>7</v>
      </c>
      <c r="E51" s="23" t="n">
        <v>1</v>
      </c>
      <c r="G51" s="24" t="n"/>
      <c r="H51" s="24" t="n"/>
      <c r="I51" s="26" t="n">
        <v>45939.99930555555</v>
      </c>
      <c r="J51" s="26">
        <f>DATE(YEAR(Setup!$C$4),MONTH(Setup!$C$4),DAY(Setup!$C$4)+((D51-1)*7)+(E51-WEEKDAY(DATE(YEAR(Setup!$C$4),MONTH(Setup!$C$4),DAY(Setup!$C$4)),1)))</f>
        <v/>
      </c>
      <c r="K51" s="26">
        <f>J51+3</f>
        <v/>
      </c>
      <c r="L51" s="26">
        <f>I51+14</f>
        <v/>
      </c>
      <c r="M51" s="23">
        <f>F51*G51</f>
        <v/>
      </c>
      <c r="N51" s="1" t="inlineStr">
        <is>
          <t>Missing A1.2 Code-along Activity</t>
        </is>
      </c>
      <c r="O51" s="1" t="inlineStr">
        <is>
          <t xml:space="preserve">This student is falling behind the recommended schedule for this course. Check in with this student, offer help, and send a message of encouragement for the student to submit this assignment. </t>
        </is>
      </c>
    </row>
    <row r="52" ht="15.95" customHeight="1">
      <c r="A52" s="1" t="inlineStr">
        <is>
          <t>CSEPC110M</t>
        </is>
      </c>
      <c r="B52" s="3" t="inlineStr">
        <is>
          <t>Missing Assignment</t>
        </is>
      </c>
      <c r="C52" s="1" t="inlineStr">
        <is>
          <t>A1.3.1 Quiz: Files - Basic Understanding</t>
        </is>
      </c>
      <c r="D52" s="23" t="n">
        <v>7</v>
      </c>
      <c r="E52" s="23" t="n">
        <v>1</v>
      </c>
      <c r="G52" s="24" t="n"/>
      <c r="H52" s="24" t="n"/>
      <c r="I52" s="26" t="n">
        <v>45939.99930555555</v>
      </c>
      <c r="J52" s="26">
        <f>DATE(YEAR(Setup!$C$4),MONTH(Setup!$C$4),DAY(Setup!$C$4)+((D52-1)*7)+(E52-WEEKDAY(DATE(YEAR(Setup!$C$4),MONTH(Setup!$C$4),DAY(Setup!$C$4)),1)))</f>
        <v/>
      </c>
      <c r="K52" s="26">
        <f>J52+3</f>
        <v/>
      </c>
      <c r="L52" s="26">
        <f>I52+14</f>
        <v/>
      </c>
      <c r="M52" s="23">
        <f>F52*G52</f>
        <v/>
      </c>
      <c r="N52" s="1" t="inlineStr">
        <is>
          <t>Missing A1.3.1 Quiz: Files</t>
        </is>
      </c>
      <c r="O52" s="1" t="inlineStr">
        <is>
          <t xml:space="preserve">This student is falling behind the recommended schedule for this course. Check in with this student, offer help, and send a message of encouragement for the student to submit this assignment. </t>
        </is>
      </c>
    </row>
    <row r="53">
      <c r="A53" s="1" t="inlineStr">
        <is>
          <t>CSEPC110M</t>
        </is>
      </c>
      <c r="B53" s="1" t="inlineStr">
        <is>
          <t>Missing Assignment</t>
        </is>
      </c>
      <c r="C53" s="1" t="inlineStr">
        <is>
          <t>A1.3.2 Quiz: Files - Application and Reasoning</t>
        </is>
      </c>
      <c r="D53" s="23" t="n">
        <v>7</v>
      </c>
      <c r="E53" s="23" t="n">
        <v>1</v>
      </c>
      <c r="G53" s="24" t="n"/>
      <c r="H53" s="24" t="n"/>
      <c r="I53" s="26" t="n">
        <v>45939.99930555555</v>
      </c>
      <c r="J53" s="26">
        <f>DATE(YEAR(Setup!$C$4),MONTH(Setup!$C$4),DAY(Setup!$C$4)+((D53-1)*7)+(E53-WEEKDAY(DATE(YEAR(Setup!$C$4),MONTH(Setup!$C$4),DAY(Setup!$C$4)),1)))</f>
        <v/>
      </c>
      <c r="K53" s="26">
        <f>J53+3</f>
        <v/>
      </c>
      <c r="L53" s="26">
        <f>I53+14</f>
        <v/>
      </c>
      <c r="M53" s="23">
        <f>F53*G53</f>
        <v/>
      </c>
      <c r="N53" s="1" t="inlineStr">
        <is>
          <t>Missing A1.3.2 Quiz: Files</t>
        </is>
      </c>
      <c r="O53" s="1" t="inlineStr">
        <is>
          <t xml:space="preserve">This student is falling behind the recommended schedule for this course. Check in with this student, offer help, and send a message of encouragement for the student to submit this assignment. </t>
        </is>
      </c>
    </row>
    <row r="54">
      <c r="A54" s="1" t="inlineStr">
        <is>
          <t>CSEPC110M</t>
        </is>
      </c>
      <c r="B54" s="1" t="inlineStr">
        <is>
          <t>Missing Assignment</t>
        </is>
      </c>
      <c r="C54" s="1" t="inlineStr">
        <is>
          <t>A1.4 Project: Data Analysis</t>
        </is>
      </c>
      <c r="D54" s="23" t="n">
        <v>7</v>
      </c>
      <c r="E54" s="23" t="n">
        <v>1</v>
      </c>
      <c r="G54" s="24" t="n"/>
      <c r="H54" s="24" t="n"/>
      <c r="I54" s="26" t="n">
        <v>45941.99930555555</v>
      </c>
      <c r="J54" s="26">
        <f>DATE(YEAR(Setup!$C$4),MONTH(Setup!$C$4),DAY(Setup!$C$4)+((D54-1)*7)+(E54-WEEKDAY(DATE(YEAR(Setup!$C$4),MONTH(Setup!$C$4),DAY(Setup!$C$4)),1)))</f>
        <v/>
      </c>
      <c r="K54" s="26">
        <f>J54+3</f>
        <v/>
      </c>
      <c r="L54" s="26">
        <f>I54+14</f>
        <v/>
      </c>
      <c r="M54" s="23">
        <f>F54*G54</f>
        <v/>
      </c>
      <c r="N54" s="1" t="inlineStr">
        <is>
          <t>Missing A1.4 Project Data Analysis</t>
        </is>
      </c>
      <c r="O54" s="1" t="inlineStr">
        <is>
          <t xml:space="preserve">This student is falling behind the recommended schedule for this course. Check in with this student, offer help, and send a message of encouragement for the student to submit this assignment. </t>
        </is>
      </c>
    </row>
    <row r="55">
      <c r="A55" s="1" t="inlineStr">
        <is>
          <t>CSEPC110M</t>
        </is>
      </c>
      <c r="B55" s="1" t="inlineStr">
        <is>
          <t>Scheduled - Classwide</t>
        </is>
      </c>
      <c r="C55" s="1" t="inlineStr">
        <is>
          <t>Course Closing Reminder</t>
        </is>
      </c>
      <c r="D55" s="23" t="n">
        <v>7</v>
      </c>
      <c r="E55" s="23" t="n">
        <v>1</v>
      </c>
      <c r="G55" s="24" t="n"/>
      <c r="H55" s="24" t="n"/>
      <c r="I55" s="26" t="n"/>
      <c r="J55" s="26">
        <f>DATE(YEAR(Setup!$C$4),MONTH(Setup!$C$4),DAY(Setup!$C$4)+((D55-1)*7)+(E55-WEEKDAY(DATE(YEAR(Setup!$C$4),MONTH(Setup!$C$4),DAY(Setup!$C$4)),1)))</f>
        <v/>
      </c>
      <c r="K55" s="26">
        <f>J55+3</f>
        <v/>
      </c>
      <c r="L55" s="26">
        <f>(J55 + (7 - WEEKDAY(J55,1))) + 1</f>
        <v/>
      </c>
      <c r="M55" s="23">
        <f>F55*G55</f>
        <v/>
      </c>
      <c r="N55" s="1" t="inlineStr">
        <is>
          <t>Course Closing Reminder</t>
        </is>
      </c>
      <c r="O55" s="1" t="inlineStr">
        <is>
          <t xml:space="preserve">Send a message to your students, reminding them that the course is closing this week and of the due dates they must meet to get assignments in and applied to their final grade. </t>
        </is>
      </c>
    </row>
    <row r="56">
      <c r="G56" s="24" t="n"/>
      <c r="H56" s="24" t="n"/>
      <c r="I56" s="24" t="n"/>
      <c r="J56" s="26" t="n"/>
      <c r="K56" s="26" t="n"/>
      <c r="L56" s="26" t="n"/>
    </row>
    <row r="57">
      <c r="G57" s="24" t="n"/>
      <c r="H57" s="24" t="n"/>
      <c r="I57" s="24" t="n"/>
      <c r="J57" s="26" t="n"/>
      <c r="K57" s="26" t="n"/>
      <c r="L57" s="26" t="n"/>
    </row>
    <row r="58">
      <c r="G58" s="24" t="n"/>
      <c r="H58" s="24" t="n"/>
      <c r="I58" s="24" t="n"/>
      <c r="J58" s="26" t="n"/>
      <c r="K58" s="26" t="n"/>
      <c r="L58" s="26" t="n"/>
    </row>
    <row r="59">
      <c r="G59" s="24" t="n"/>
      <c r="H59" s="24" t="n"/>
      <c r="I59" s="24" t="n"/>
      <c r="J59" s="26" t="n"/>
      <c r="K59" s="26" t="n"/>
      <c r="L59" s="26" t="n"/>
    </row>
    <row r="60">
      <c r="G60" s="24" t="n"/>
      <c r="H60" s="24" t="n"/>
      <c r="I60" s="24" t="n"/>
      <c r="J60" s="26" t="n"/>
      <c r="K60" s="26" t="n"/>
      <c r="L60" s="26" t="n"/>
    </row>
    <row r="61">
      <c r="G61" s="24" t="n"/>
      <c r="H61" s="24" t="n"/>
      <c r="I61" s="24" t="n"/>
      <c r="J61" s="26" t="n"/>
      <c r="K61" s="26" t="n"/>
      <c r="L61" s="26" t="n"/>
    </row>
    <row r="62">
      <c r="G62" s="24" t="n"/>
      <c r="H62" s="24" t="n"/>
      <c r="I62" s="24" t="n"/>
      <c r="J62" s="26" t="n"/>
      <c r="K62" s="26" t="n"/>
      <c r="L62" s="26" t="n"/>
    </row>
    <row r="63">
      <c r="G63" s="24" t="n"/>
      <c r="H63" s="24" t="n"/>
      <c r="I63" s="24" t="n"/>
      <c r="J63" s="26" t="n"/>
      <c r="K63" s="26" t="n"/>
      <c r="L63" s="26" t="n"/>
    </row>
    <row r="64">
      <c r="G64" s="24" t="n"/>
      <c r="H64" s="24" t="n"/>
      <c r="I64" s="24" t="n"/>
      <c r="J64" s="26" t="n"/>
      <c r="K64" s="26" t="n"/>
      <c r="L64" s="26" t="n"/>
    </row>
    <row r="65">
      <c r="G65" s="24" t="n"/>
      <c r="H65" s="24" t="n"/>
      <c r="I65" s="24" t="n"/>
      <c r="J65" s="26" t="n"/>
      <c r="K65" s="26" t="n"/>
      <c r="L65" s="26" t="n"/>
    </row>
    <row r="66">
      <c r="G66" s="24" t="n"/>
      <c r="H66" s="24" t="n"/>
      <c r="I66" s="24" t="n"/>
      <c r="J66" s="26" t="n"/>
      <c r="K66" s="26" t="n"/>
      <c r="L66" s="26" t="n"/>
    </row>
    <row r="67">
      <c r="G67" s="24" t="n"/>
      <c r="H67" s="24" t="n"/>
      <c r="I67" s="24" t="n"/>
      <c r="J67" s="26" t="n"/>
      <c r="K67" s="26" t="n"/>
      <c r="L67" s="26" t="n"/>
    </row>
    <row r="68">
      <c r="G68" s="24" t="n"/>
      <c r="H68" s="24" t="n"/>
      <c r="I68" s="24" t="n"/>
      <c r="J68" s="26" t="n"/>
      <c r="K68" s="26" t="n"/>
      <c r="L68" s="26" t="n"/>
    </row>
    <row r="69">
      <c r="G69" s="24" t="n"/>
      <c r="H69" s="24" t="n"/>
      <c r="I69" s="24" t="n"/>
      <c r="J69" s="26" t="n"/>
      <c r="K69" s="26" t="n"/>
      <c r="L69" s="26" t="n"/>
    </row>
    <row r="70">
      <c r="G70" s="24" t="n"/>
      <c r="H70" s="24" t="n"/>
      <c r="I70" s="24" t="n"/>
      <c r="J70" s="26" t="n"/>
      <c r="K70" s="26" t="n"/>
      <c r="L70" s="26" t="n"/>
    </row>
  </sheetData>
  <sheetProtection selectLockedCells="1" selectUnlockedCells="0" algorithmName="SHA-512" sheet="1" objects="0" insertRows="0" insertHyperlinks="1" autoFilter="0" scenarios="0" formatColumns="1" deleteColumns="1" insertColumns="1" pivotTables="1" deleteRows="0" formatCells="0" saltValue="9h1NR3+wKAhNpkxYd8Uq1Q==" formatRows="0" sort="0" spinCount="100000" hashValue="pzJb/eXAZymweV75jqO/z7+nbn8ckLw/PI9ihDYBCjHECrmK/yoWfPsXJm1m6jOm+l706vsmSCCJm8vF35kQSw=="/>
  <autoFilter ref="A1:O70"/>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5.xml><?xml version="1.0" encoding="utf-8"?>
<worksheet xmlns="http://schemas.openxmlformats.org/spreadsheetml/2006/main">
  <sheetPr codeName="Sheet3">
    <tabColor rgb="FF00B050"/>
    <outlinePr summaryBelow="1" summaryRight="1"/>
    <pageSetUpPr/>
  </sheetPr>
  <dimension ref="A1:N66"/>
  <sheetViews>
    <sheetView workbookViewId="0">
      <pane xSplit="4" topLeftCell="E1" activePane="topRight" state="frozen"/>
      <selection pane="topRight" activeCell="G1" sqref="G1"/>
      <selection activeCell="D12" sqref="D12"/>
    </sheetView>
  </sheetViews>
  <sheetFormatPr baseColWidth="8" defaultColWidth="8.85546875" defaultRowHeight="15"/>
  <cols>
    <col width="13" customWidth="1" style="1" min="1" max="1"/>
    <col width="24.28515625" customWidth="1" style="1" min="2" max="2"/>
    <col width="48.28515625" customWidth="1" style="1" min="3" max="3"/>
    <col width="14.42578125" customWidth="1" style="23" min="4" max="4"/>
    <col width="14" customWidth="1" style="23" min="5" max="6"/>
    <col width="14.14062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CSE111</t>
        </is>
      </c>
      <c r="B2" s="1" t="inlineStr">
        <is>
          <t>New Student Added</t>
        </is>
      </c>
      <c r="C2" s="1" t="inlineStr">
        <is>
          <t>Novo Estudante Adicionado</t>
        </is>
      </c>
      <c r="D2" s="23" t="n">
        <v>0</v>
      </c>
      <c r="E2" s="23" t="n">
        <v>2</v>
      </c>
      <c r="G2" s="24" t="n"/>
      <c r="H2" s="24" t="inlineStr">
        <is>
          <t>y</t>
        </is>
      </c>
      <c r="I2" s="26">
        <f>DATE(YEAR(Setup!$C$4),MONTH(Setup!$C$4),DAY(Setup!$C$4)+((D2-1)*7)+(E2-WEEKDAY(DATE(YEAR(Setup!$C$4),MONTH(Setup!$C$4),DAY(Setup!$C$4)),1)))</f>
        <v/>
      </c>
      <c r="J2" s="26">
        <f>I2+3</f>
        <v/>
      </c>
      <c r="K2" s="26">
        <f>(I2 + (7 - WEEKDAY(I2,1))) + 1</f>
        <v/>
      </c>
      <c r="L2" s="23">
        <f>F2*G2</f>
        <v/>
      </c>
      <c r="M2" s="1" t="inlineStr">
        <is>
          <t>E-mail de Boas-vindas</t>
        </is>
      </c>
    </row>
    <row r="3">
      <c r="A3" s="1" t="inlineStr">
        <is>
          <t>CSE111</t>
        </is>
      </c>
      <c r="B3" s="1" t="inlineStr">
        <is>
          <t>New Student Added</t>
        </is>
      </c>
      <c r="C3" s="1" t="inlineStr">
        <is>
          <t>Novo Estudante Adicionado</t>
        </is>
      </c>
      <c r="D3" s="23" t="n">
        <v>1</v>
      </c>
      <c r="E3" s="23" t="n">
        <v>6</v>
      </c>
      <c r="G3" s="24" t="n"/>
      <c r="H3" s="24" t="inlineStr">
        <is>
          <t>y</t>
        </is>
      </c>
      <c r="I3" s="26">
        <f>DATE(YEAR(Setup!$C$4),MONTH(Setup!$C$4),DAY(Setup!$C$4)+((D3-1)*7)+(E3-WEEKDAY(DATE(YEAR(Setup!$C$4),MONTH(Setup!$C$4),DAY(Setup!$C$4)),1)))</f>
        <v/>
      </c>
      <c r="J3" s="26">
        <f>I3+3</f>
        <v/>
      </c>
      <c r="K3" s="26">
        <f>(I3 + (7 - WEEKDAY(I3,1))) + 1</f>
        <v/>
      </c>
      <c r="L3" s="23">
        <f>F3*G3</f>
        <v/>
      </c>
      <c r="M3" s="1" t="inlineStr">
        <is>
          <t>E-mail de Boas-vindas</t>
        </is>
      </c>
    </row>
    <row r="4">
      <c r="A4" s="1" t="inlineStr">
        <is>
          <t>CSE111</t>
        </is>
      </c>
      <c r="B4" s="1" t="inlineStr">
        <is>
          <t>Scheduled - Not Logged In</t>
        </is>
      </c>
      <c r="C4" s="1" t="inlineStr">
        <is>
          <t>Não Entrou no Canvas</t>
        </is>
      </c>
      <c r="D4" s="23" t="n">
        <v>1</v>
      </c>
      <c r="E4" s="23" t="n">
        <v>4</v>
      </c>
      <c r="G4" s="24" t="n"/>
      <c r="H4" s="24" t="inlineStr">
        <is>
          <t>y</t>
        </is>
      </c>
      <c r="I4" s="26">
        <f>DATE(YEAR(Setup!$C$4),MONTH(Setup!$C$4),DAY(Setup!$C$4)+((D4-1)*7)+(E4-WEEKDAY(DATE(YEAR(Setup!$C$4),MONTH(Setup!$C$4),DAY(Setup!$C$4)),1)))</f>
        <v/>
      </c>
      <c r="J4" s="26">
        <f>I4+3</f>
        <v/>
      </c>
      <c r="K4" s="26">
        <f>(I4 + (7 - WEEKDAY(I4,1))) + 1</f>
        <v/>
      </c>
      <c r="L4" s="23">
        <f>F4*G4</f>
        <v/>
      </c>
      <c r="M4" s="1" t="inlineStr">
        <is>
          <t>Não fez login no Canvas</t>
        </is>
      </c>
      <c r="N4" s="43" t="inlineStr">
        <is>
          <t>Envie um e-mail (fora do IMS) para os estudantes que não fizeram login no Canvas, lembrando-os de que o período letivo começou e incentivando-os a começar.</t>
        </is>
      </c>
    </row>
    <row r="5">
      <c r="A5" s="1" t="inlineStr">
        <is>
          <t>CSE111</t>
        </is>
      </c>
      <c r="B5" s="1" t="inlineStr">
        <is>
          <t>Missing Assignment</t>
        </is>
      </c>
      <c r="C5" s="1" t="inlineStr">
        <is>
          <t>S01 - Projeto: Volume do Pneu</t>
        </is>
      </c>
      <c r="D5" s="23" t="n">
        <v>2</v>
      </c>
      <c r="E5" s="23" t="n">
        <v>3</v>
      </c>
      <c r="G5" s="24" t="n"/>
      <c r="H5" s="24" t="inlineStr">
        <is>
          <t>y</t>
        </is>
      </c>
      <c r="I5" s="26">
        <f>DATE(YEAR(Setup!$C$4),MONTH(Setup!$C$4),DAY(Setup!$C$4)+((D5-1)*7)+(E5-WEEKDAY(DATE(YEAR(Setup!$C$4),MONTH(Setup!$C$4),DAY(Setup!$C$4)),1)))</f>
        <v/>
      </c>
      <c r="J5" s="26">
        <f>I5+3</f>
        <v/>
      </c>
      <c r="K5" s="26">
        <f>(I5 + (7 - WEEKDAY(I5,1))) + 1</f>
        <v/>
      </c>
      <c r="L5" s="23">
        <f>F5*G5</f>
        <v/>
      </c>
      <c r="M5" s="1" t="inlineStr">
        <is>
          <t>Tarefa Pendente: Projeto W01: Tire Volume</t>
        </is>
      </c>
      <c r="N5" s="1" t="inlineStr">
        <is>
          <t>Entre em contato com o estudante que não entregou o Marco do Projeto W01: Tire Volume</t>
        </is>
      </c>
    </row>
    <row r="6">
      <c r="A6" s="1" t="inlineStr">
        <is>
          <t>CSE111</t>
        </is>
      </c>
      <c r="B6" s="1" t="inlineStr">
        <is>
          <t>Quiz Question</t>
        </is>
      </c>
      <c r="C6" s="1" t="inlineStr">
        <is>
          <t>S01-  Reflexão: Precisa de Ajuda Resposta: Sim</t>
        </is>
      </c>
      <c r="D6" s="23" t="n">
        <v>2</v>
      </c>
      <c r="E6" s="23" t="n">
        <v>2</v>
      </c>
      <c r="G6" s="24" t="n"/>
      <c r="H6" s="24" t="inlineStr">
        <is>
          <t>y</t>
        </is>
      </c>
      <c r="I6" s="26">
        <f>DATE(YEAR(Setup!$C$4),MONTH(Setup!$C$4),DAY(Setup!$C$4)+((D6-1)*7)+(E6-WEEKDAY(DATE(YEAR(Setup!$C$4),MONTH(Setup!$C$4),DAY(Setup!$C$4)),1)))</f>
        <v/>
      </c>
      <c r="J6" s="26">
        <f>I6+3</f>
        <v/>
      </c>
      <c r="K6" s="26">
        <f>(I6 + (7 - WEEKDAY(I6,1))) + 1</f>
        <v/>
      </c>
      <c r="L6" s="23">
        <f>F6*G6</f>
        <v/>
      </c>
      <c r="M6" s="1" t="inlineStr">
        <is>
          <t>Resposta à Reflexão da W01 - O aluno respondeu que está sobrecarregado.</t>
        </is>
      </c>
      <c r="N6" s="1" t="inlineStr">
        <is>
          <t>O estudante respondeu que está se sentindo sobrecarregado na Reflexão da W01. Entre em contato com o estudante para ver como você pode ajudar.</t>
        </is>
      </c>
    </row>
    <row r="7">
      <c r="A7" s="1" t="inlineStr">
        <is>
          <t>CSE111</t>
        </is>
      </c>
      <c r="B7" s="1" t="inlineStr">
        <is>
          <t>Grader-Issued 0</t>
        </is>
      </c>
      <c r="C7" s="1" t="inlineStr">
        <is>
          <t>S01 - Projeto: Volume do Pneu</t>
        </is>
      </c>
      <c r="D7" s="23" t="n">
        <v>2</v>
      </c>
      <c r="E7" s="23" t="n">
        <v>4</v>
      </c>
      <c r="F7" s="23" t="n">
        <v>100</v>
      </c>
      <c r="G7" s="24" t="n"/>
      <c r="H7" s="24" t="inlineStr">
        <is>
          <t>y</t>
        </is>
      </c>
      <c r="I7" s="26">
        <f>DATE(YEAR(Setup!$C$4),MONTH(Setup!$C$4),DAY(Setup!$C$4)+((D7-1)*7)+(E7-WEEKDAY(DATE(YEAR(Setup!$C$4),MONTH(Setup!$C$4),DAY(Setup!$C$4)),1)))</f>
        <v/>
      </c>
      <c r="J7" s="26">
        <f>I7+3</f>
        <v/>
      </c>
      <c r="K7" s="26">
        <f>(I7 + (7 - WEEKDAY(I7,1))) + 1</f>
        <v/>
      </c>
      <c r="L7" s="23">
        <f>F7*G7</f>
        <v/>
      </c>
      <c r="M7" s="1" t="inlineStr">
        <is>
          <t>O estudante recebeu nota 0 atribuída pelo avaliador no Marco do Projeto da W01: Volume do Pneu</t>
        </is>
      </c>
      <c r="N7" s="44" t="inlineStr">
        <is>
          <t>Em risco. O avaliador atribuiu 0 no Projeto da W01: Volume do Pneu. Acesse o Canvas e veja os comentários do avaliador. Trabalhe com o aluno para ajudá-lo a reenviar.</t>
        </is>
      </c>
    </row>
    <row r="8">
      <c r="A8" s="1" t="inlineStr">
        <is>
          <t>CSE111</t>
        </is>
      </c>
      <c r="B8" s="1" t="inlineStr">
        <is>
          <t>High Performance</t>
        </is>
      </c>
      <c r="C8" s="1" t="inlineStr">
        <is>
          <t>S01 - Projeto: Volume do Pneu</t>
        </is>
      </c>
      <c r="D8" s="23" t="n">
        <v>2</v>
      </c>
      <c r="E8" s="23" t="n">
        <v>5</v>
      </c>
      <c r="F8" s="23" t="n">
        <v>100</v>
      </c>
      <c r="G8" s="24" t="n">
        <v>0.9</v>
      </c>
      <c r="H8" s="24" t="inlineStr">
        <is>
          <t>y</t>
        </is>
      </c>
      <c r="I8" s="26">
        <f>DATE(YEAR(Setup!$C$4),MONTH(Setup!$C$4),DAY(Setup!$C$4)+((D8-1)*7)+(E8-WEEKDAY(DATE(YEAR(Setup!$C$4),MONTH(Setup!$C$4),DAY(Setup!$C$4)),1)))</f>
        <v/>
      </c>
      <c r="J8" s="26">
        <f>I8+3</f>
        <v/>
      </c>
      <c r="K8" s="26">
        <f>(I8 + (7 - WEEKDAY(I8,1))) + 1</f>
        <v/>
      </c>
      <c r="L8" s="23">
        <f>F8*G8</f>
        <v/>
      </c>
      <c r="M8" s="1" t="inlineStr">
        <is>
          <t>Alto Desempenho: Projeto da W01: Tire Volume</t>
        </is>
      </c>
      <c r="N8" s="1" t="inlineStr">
        <is>
          <t>Forneça feedback positivo sobre o Projeto W01: Tire Volume</t>
        </is>
      </c>
    </row>
    <row r="9">
      <c r="A9" s="1" t="inlineStr">
        <is>
          <t>CSE111</t>
        </is>
      </c>
      <c r="B9" s="1" t="inlineStr">
        <is>
          <t>Low Performance</t>
        </is>
      </c>
      <c r="C9" s="1" t="inlineStr">
        <is>
          <t>S01 - Projeto: Volume do Pneu</t>
        </is>
      </c>
      <c r="D9" s="23" t="n">
        <v>2</v>
      </c>
      <c r="E9" s="23" t="n">
        <v>5</v>
      </c>
      <c r="F9" s="23" t="n">
        <v>100</v>
      </c>
      <c r="G9" s="24" t="n">
        <v>0.7</v>
      </c>
      <c r="H9" s="24" t="inlineStr">
        <is>
          <t>y</t>
        </is>
      </c>
      <c r="I9" s="26">
        <f>DATE(YEAR(Setup!$C$4),MONTH(Setup!$C$4),DAY(Setup!$C$4)+((D9-1)*7)+(E9-WEEKDAY(DATE(YEAR(Setup!$C$4),MONTH(Setup!$C$4),DAY(Setup!$C$4)),1)))</f>
        <v/>
      </c>
      <c r="J9" s="26">
        <f>I9+3</f>
        <v/>
      </c>
      <c r="K9" s="26">
        <f>(I9 + (7 - WEEKDAY(I9,1))) + 1</f>
        <v/>
      </c>
      <c r="L9" s="23">
        <f>F9*G9</f>
        <v/>
      </c>
      <c r="M9" s="1" t="inlineStr">
        <is>
          <t>Baixo Desempenho: Projeto da W01: Volume do Pneu</t>
        </is>
      </c>
      <c r="N9" s="1" t="inlineStr">
        <is>
          <t>Em risco. O aluno obteve nota abaixo de 70% no Projeto da W01: Volume do Pneu. Entre em contato para ver como você pode ajudar.</t>
        </is>
      </c>
    </row>
    <row r="10">
      <c r="A10" s="1" t="inlineStr">
        <is>
          <t>CSE111</t>
        </is>
      </c>
      <c r="B10" s="1" t="inlineStr">
        <is>
          <t>Missing Assignment</t>
        </is>
      </c>
      <c r="C10" s="1" t="inlineStr">
        <is>
          <t>S02 - Projeto: Força da Senha</t>
        </is>
      </c>
      <c r="D10" s="23" t="n">
        <v>3</v>
      </c>
      <c r="E10" s="23" t="n">
        <v>3</v>
      </c>
      <c r="G10" s="24" t="n"/>
      <c r="H10" s="24" t="inlineStr">
        <is>
          <t>y</t>
        </is>
      </c>
      <c r="I10" s="26">
        <f>DATE(YEAR(Setup!$C$4),MONTH(Setup!$C$4),DAY(Setup!$C$4)+((D10-1)*7)+(E10-WEEKDAY(DATE(YEAR(Setup!$C$4),MONTH(Setup!$C$4),DAY(Setup!$C$4)),1)))</f>
        <v/>
      </c>
      <c r="J10" s="26">
        <f>I10+3</f>
        <v/>
      </c>
      <c r="K10" s="26">
        <f>(I10 + (7 - WEEKDAY(I10,1))) + 1</f>
        <v/>
      </c>
      <c r="L10" s="23">
        <f>F10*G10</f>
        <v/>
      </c>
      <c r="M10" s="1" t="inlineStr">
        <is>
          <t>Tarefa Pendente: Projeto da W02: Força da Senha</t>
        </is>
      </c>
      <c r="N10" s="1" t="inlineStr">
        <is>
          <t>Entre em contato com o aluno que não entregou o Projeto da W01: Força da Senha</t>
        </is>
      </c>
    </row>
    <row r="11">
      <c r="A11" s="1" t="inlineStr">
        <is>
          <t>CSE111</t>
        </is>
      </c>
      <c r="B11" s="1" t="inlineStr">
        <is>
          <t>Quiz Question</t>
        </is>
      </c>
      <c r="C11" s="1" t="inlineStr">
        <is>
          <t>S02 - Reflexão: Precisa de Ajuda Resposta: Sim</t>
        </is>
      </c>
      <c r="D11" s="23" t="n">
        <v>3</v>
      </c>
      <c r="E11" s="23" t="n">
        <v>2</v>
      </c>
      <c r="G11" s="24" t="n"/>
      <c r="H11" s="24" t="inlineStr">
        <is>
          <t>y</t>
        </is>
      </c>
      <c r="I11" s="26">
        <f>DATE(YEAR(Setup!$C$4),MONTH(Setup!$C$4),DAY(Setup!$C$4)+((D11-1)*7)+(E11-WEEKDAY(DATE(YEAR(Setup!$C$4),MONTH(Setup!$C$4),DAY(Setup!$C$4)),1)))</f>
        <v/>
      </c>
      <c r="J11" s="26">
        <f>I11+3</f>
        <v/>
      </c>
      <c r="K11" s="26">
        <f>(I11 + (7 - WEEKDAY(I11,1))) + 1</f>
        <v/>
      </c>
      <c r="L11" s="23">
        <f>F11*G11</f>
        <v/>
      </c>
      <c r="M11" s="1" t="inlineStr">
        <is>
          <t>Resposta à Reflexão da W02 - O aluno respondeu que está sobrecarregado.</t>
        </is>
      </c>
      <c r="N11" s="1" t="inlineStr">
        <is>
          <t>O(A) estudante respondeu que está se sentindo sobrecarregado(a) na Reflexão da W02. Entre em contato com o(a) estudante para ver como você pode ajudar.</t>
        </is>
      </c>
    </row>
    <row r="12">
      <c r="A12" s="1" t="inlineStr">
        <is>
          <t>CSE111</t>
        </is>
      </c>
      <c r="B12" s="1" t="inlineStr">
        <is>
          <t>Grader-Issued 0</t>
        </is>
      </c>
      <c r="C12" s="44" t="inlineStr">
        <is>
          <t>S02 - Projeto: Força da Senha</t>
        </is>
      </c>
      <c r="D12" s="23" t="n">
        <v>3</v>
      </c>
      <c r="E12" s="23" t="n">
        <v>4</v>
      </c>
      <c r="F12" s="23" t="n">
        <v>100</v>
      </c>
      <c r="G12" s="24" t="n"/>
      <c r="H12" s="24" t="inlineStr">
        <is>
          <t>y</t>
        </is>
      </c>
      <c r="I12" s="26">
        <f>DATE(YEAR(Setup!$C$4),MONTH(Setup!$C$4),DAY(Setup!$C$4)+((D12-1)*7)+(E12-WEEKDAY(DATE(YEAR(Setup!$C$4),MONTH(Setup!$C$4),DAY(Setup!$C$4)),1)))</f>
        <v/>
      </c>
      <c r="J12" s="26">
        <f>I12+3</f>
        <v/>
      </c>
      <c r="K12" s="26">
        <f>(I12 + (7 - WEEKDAY(I12,1))) + 1</f>
        <v/>
      </c>
      <c r="L12" s="23">
        <f>F12*G12</f>
        <v/>
      </c>
      <c r="M12" s="1" t="inlineStr">
        <is>
          <t>O aluno recebeu uma nota 0 atribuída pelo avaliador no Projeto W02: Força da senha</t>
        </is>
      </c>
      <c r="N12" s="44" t="inlineStr">
        <is>
          <t>Em risco. O avaliador atribuiu nota 0 no Projeto W02: Password Strength. Acesse o Canvas e veja os comentários do avaliador. Trabalhe com o estudante para ajudá-lo a enviar novamente.</t>
        </is>
      </c>
    </row>
    <row r="13">
      <c r="A13" s="1" t="inlineStr">
        <is>
          <t>CSE111</t>
        </is>
      </c>
      <c r="B13" s="1" t="inlineStr">
        <is>
          <t>High Performance</t>
        </is>
      </c>
      <c r="C13" s="44" t="inlineStr">
        <is>
          <t>S02 - Projeto: Força da Senha</t>
        </is>
      </c>
      <c r="D13" s="23" t="n">
        <v>3</v>
      </c>
      <c r="E13" s="23" t="n">
        <v>4</v>
      </c>
      <c r="F13" s="23" t="n">
        <v>100</v>
      </c>
      <c r="G13" s="24" t="n">
        <v>0.9</v>
      </c>
      <c r="H13" s="24" t="inlineStr">
        <is>
          <t>y</t>
        </is>
      </c>
      <c r="I13" s="26">
        <f>DATE(YEAR(Setup!$C$4),MONTH(Setup!$C$4),DAY(Setup!$C$4)+((D13-1)*7)+(E13-WEEKDAY(DATE(YEAR(Setup!$C$4),MONTH(Setup!$C$4),DAY(Setup!$C$4)),1)))</f>
        <v/>
      </c>
      <c r="J13" s="26">
        <f>I13+3</f>
        <v/>
      </c>
      <c r="K13" s="26">
        <f>(I13 + (7 - WEEKDAY(I13,1))) + 1</f>
        <v/>
      </c>
      <c r="L13" s="23">
        <f>F13*G13</f>
        <v/>
      </c>
      <c r="M13" s="1" t="inlineStr">
        <is>
          <t>Alto Desempenho: Projeto da W02: Força da Senha</t>
        </is>
      </c>
      <c r="N13" s="1" t="inlineStr">
        <is>
          <t>Forneça feedback positivo no Projeto W02: Força da Senha</t>
        </is>
      </c>
    </row>
    <row r="14">
      <c r="A14" s="1" t="inlineStr">
        <is>
          <t>CSE111</t>
        </is>
      </c>
      <c r="B14" s="1" t="inlineStr">
        <is>
          <t>Low Performance</t>
        </is>
      </c>
      <c r="C14" s="44" t="inlineStr">
        <is>
          <t>S02 - Projeto: Força da Senha</t>
        </is>
      </c>
      <c r="D14" s="23" t="n">
        <v>3</v>
      </c>
      <c r="E14" s="23" t="n">
        <v>4</v>
      </c>
      <c r="F14" s="23" t="n">
        <v>100</v>
      </c>
      <c r="G14" s="24" t="n">
        <v>0.7</v>
      </c>
      <c r="H14" s="24" t="inlineStr">
        <is>
          <t>y</t>
        </is>
      </c>
      <c r="I14" s="26">
        <f>DATE(YEAR(Setup!$C$4),MONTH(Setup!$C$4),DAY(Setup!$C$4)+((D14-1)*7)+(E14-WEEKDAY(DATE(YEAR(Setup!$C$4),MONTH(Setup!$C$4),DAY(Setup!$C$4)),1)))</f>
        <v/>
      </c>
      <c r="J14" s="26">
        <f>I14+3</f>
        <v/>
      </c>
      <c r="K14" s="26">
        <f>(I14 + (7 - WEEKDAY(I14,1))) + 1</f>
        <v/>
      </c>
      <c r="L14" s="23">
        <f>F14*G14</f>
        <v/>
      </c>
      <c r="M14" s="1" t="inlineStr">
        <is>
          <t>Baixo Desempenho: Projeto da W02: Força da Senha</t>
        </is>
      </c>
      <c r="N14" s="1" t="inlineStr">
        <is>
          <t>Em Risco. O(A) estudante obteve nota abaixo de 70% no Projeto da W02: Força da Senha. Entre em contato para ver como você pode ajudar.</t>
        </is>
      </c>
    </row>
    <row r="15">
      <c r="A15" s="1" t="inlineStr">
        <is>
          <t>CSE111</t>
        </is>
      </c>
      <c r="B15" s="1" t="inlineStr">
        <is>
          <t>Missing Assignment</t>
        </is>
      </c>
      <c r="C15" s="1" t="inlineStr">
        <is>
          <t>S03 - Projeto: Pressão da Água</t>
        </is>
      </c>
      <c r="D15" s="23" t="n">
        <v>4</v>
      </c>
      <c r="E15" s="23" t="n">
        <v>3</v>
      </c>
      <c r="G15" s="24" t="n"/>
      <c r="H15" s="24" t="inlineStr">
        <is>
          <t>y</t>
        </is>
      </c>
      <c r="I15" s="26">
        <f>DATE(YEAR(Setup!$C$4),MONTH(Setup!$C$4),DAY(Setup!$C$4)+((D15-1)*7)+(E15-WEEKDAY(DATE(YEAR(Setup!$C$4),MONTH(Setup!$C$4),DAY(Setup!$C$4)),1)))</f>
        <v/>
      </c>
      <c r="J15" s="26">
        <f>I15+3</f>
        <v/>
      </c>
      <c r="K15" s="26">
        <f>(I15 + (7 - WEEKDAY(I15,1))) + 1</f>
        <v/>
      </c>
      <c r="L15" s="23">
        <f>F15*G15</f>
        <v/>
      </c>
      <c r="M15" s="1" t="inlineStr">
        <is>
          <t>Tarefa Pendente: Projeto da W03: Pressão da Água</t>
        </is>
      </c>
      <c r="N15" s="1" t="inlineStr">
        <is>
          <t>Entre em contato com o aluno que não enviou o Projeto da W01: Pressão da Água</t>
        </is>
      </c>
    </row>
    <row r="16" ht="15.95" customHeight="1">
      <c r="A16" s="1" t="inlineStr">
        <is>
          <t>CSE111</t>
        </is>
      </c>
      <c r="B16" s="3" t="inlineStr">
        <is>
          <t>Quiz Question</t>
        </is>
      </c>
      <c r="C16" s="1" t="inlineStr">
        <is>
          <t>S03 - Reflexão: Precisa de Ajuda Resposta: Sim</t>
        </is>
      </c>
      <c r="D16" s="23" t="n">
        <v>4</v>
      </c>
      <c r="E16" s="23" t="n">
        <v>2</v>
      </c>
      <c r="G16" s="24" t="n"/>
      <c r="H16" s="24" t="inlineStr">
        <is>
          <t>y</t>
        </is>
      </c>
      <c r="I16" s="26">
        <f>DATE(YEAR(Setup!$C$4),MONTH(Setup!$C$4),DAY(Setup!$C$4)+((D16-1)*7)+(E16-WEEKDAY(DATE(YEAR(Setup!$C$4),MONTH(Setup!$C$4),DAY(Setup!$C$4)),1)))</f>
        <v/>
      </c>
      <c r="J16" s="26">
        <f>I16+3</f>
        <v/>
      </c>
      <c r="K16" s="26">
        <f>(I16 + (7 - WEEKDAY(I16,1))) + 1</f>
        <v/>
      </c>
      <c r="L16" s="23">
        <f>F16*G16</f>
        <v/>
      </c>
      <c r="M16" s="1" t="inlineStr">
        <is>
          <t>Resposta à Reflexão da W03 - O estudante respondeu que está sobrecarregado.</t>
        </is>
      </c>
      <c r="N16" s="1" t="inlineStr">
        <is>
          <t>O aluno respondeu na Reflexão W03 que está se sentindo sobrecarregado. Entre em contato com o aluno para ver como você pode ajudar.</t>
        </is>
      </c>
    </row>
    <row r="17">
      <c r="A17" s="1" t="inlineStr">
        <is>
          <t>CSE111</t>
        </is>
      </c>
      <c r="B17" s="1" t="inlineStr">
        <is>
          <t>Grader-Issued 0</t>
        </is>
      </c>
      <c r="C17" s="47" t="inlineStr">
        <is>
          <t>S03 - Projeto: Pressão da Água</t>
        </is>
      </c>
      <c r="D17" s="23" t="n">
        <v>4</v>
      </c>
      <c r="E17" s="23" t="n">
        <v>4</v>
      </c>
      <c r="F17" s="23" t="n">
        <v>100</v>
      </c>
      <c r="G17" s="24" t="n"/>
      <c r="H17" s="24" t="inlineStr">
        <is>
          <t>y</t>
        </is>
      </c>
      <c r="I17" s="26">
        <f>DATE(YEAR(Setup!$C$4),MONTH(Setup!$C$4),DAY(Setup!$C$4)+((D17-1)*7)+(E17-WEEKDAY(DATE(YEAR(Setup!$C$4),MONTH(Setup!$C$4),DAY(Setup!$C$4)),1)))</f>
        <v/>
      </c>
      <c r="J17" s="26">
        <f>I17+3</f>
        <v/>
      </c>
      <c r="K17" s="26">
        <f>(I17 + (7 - WEEKDAY(I17,1))) + 1</f>
        <v/>
      </c>
      <c r="L17" s="23">
        <f>F17*G17</f>
        <v/>
      </c>
      <c r="M17" s="1" t="inlineStr">
        <is>
          <t>O aluno recebeu nota 0 atribuída pelo avaliador no Projeto W03: Pressão da Água</t>
        </is>
      </c>
      <c r="N17" s="44" t="inlineStr">
        <is>
          <t>Em risco. O corretor atribuiu nota 0 no Projeto da W03: Pressão da Água. Faça login no Canvas e veja os comentários do corretor. Trabalhe com o aluno para ajudá-lo a reenviar.</t>
        </is>
      </c>
    </row>
    <row r="18" customFormat="1" s="64">
      <c r="A18" s="1" t="inlineStr">
        <is>
          <t>CSE111</t>
        </is>
      </c>
      <c r="B18" s="1" t="inlineStr">
        <is>
          <t>Scheduled - Low Current Grade</t>
        </is>
      </c>
      <c r="C18" s="1" t="inlineStr">
        <is>
          <t>Lembrete de Prazo de Desistência</t>
        </is>
      </c>
      <c r="D18" s="23" t="n">
        <v>4</v>
      </c>
      <c r="E18" s="23" t="n">
        <v>4</v>
      </c>
      <c r="F18" s="23" t="n"/>
      <c r="G18" s="24" t="n">
        <v>0.4</v>
      </c>
      <c r="H18" s="24" t="inlineStr">
        <is>
          <t>y</t>
        </is>
      </c>
      <c r="I18" s="26">
        <f>DATE(YEAR(Setup!$C$4),MONTH(Setup!$C$4),DAY(Setup!$C$4)+((D18-1)*7)+(E18-WEEKDAY(DATE(YEAR(Setup!$C$4),MONTH(Setup!$C$4),DAY(Setup!$C$4)),1)))</f>
        <v/>
      </c>
      <c r="J18" s="26">
        <f>I18+3</f>
        <v/>
      </c>
      <c r="K18" s="26">
        <f>(I18 + (7 - WEEKDAY(I18,1))) + 1</f>
        <v/>
      </c>
      <c r="L18" s="23">
        <f>F18*G18</f>
        <v/>
      </c>
      <c r="M18" s="1" t="inlineStr">
        <is>
          <t>Aluno em situação de reprovação. Lembrete de cancelamento de matrícula</t>
        </is>
      </c>
      <c r="N18" s="1" t="inlineStr">
        <is>
          <t>Envie um e-mail para os alunos que estão reprovando no momento e que têm poucas chances de recuperação, lembrando-os do prazo de trancamento.</t>
        </is>
      </c>
    </row>
    <row r="19">
      <c r="A19" s="1" t="inlineStr">
        <is>
          <t>CSE111</t>
        </is>
      </c>
      <c r="B19" s="1" t="inlineStr">
        <is>
          <t>High Performance</t>
        </is>
      </c>
      <c r="C19" s="1" t="inlineStr">
        <is>
          <t>S03 - Projeto: Pressão da Água</t>
        </is>
      </c>
      <c r="D19" s="23" t="n">
        <v>4</v>
      </c>
      <c r="E19" s="23" t="n">
        <v>5</v>
      </c>
      <c r="F19" s="23" t="n">
        <v>100</v>
      </c>
      <c r="G19" s="24" t="n">
        <v>0.9</v>
      </c>
      <c r="H19" s="24" t="inlineStr">
        <is>
          <t>y</t>
        </is>
      </c>
      <c r="I19" s="26">
        <f>DATE(YEAR(Setup!$C$4),MONTH(Setup!$C$4),DAY(Setup!$C$4)+((D19-1)*7)+(E19-WEEKDAY(DATE(YEAR(Setup!$C$4),MONTH(Setup!$C$4),DAY(Setup!$C$4)),1)))</f>
        <v/>
      </c>
      <c r="J19" s="26">
        <f>I19+3</f>
        <v/>
      </c>
      <c r="K19" s="26">
        <f>(I19 + (7 - WEEKDAY(I19,1))) + 1</f>
        <v/>
      </c>
      <c r="L19" s="23">
        <f>F19*G19</f>
        <v/>
      </c>
      <c r="M19" s="1" t="inlineStr">
        <is>
          <t>Alto Desempenho: Projeto da W03: Pressão da Água</t>
        </is>
      </c>
      <c r="N19" s="1" t="inlineStr">
        <is>
          <t>Forneça feedback positivo no Projeto W03: Pressão da Água</t>
        </is>
      </c>
    </row>
    <row r="20">
      <c r="A20" s="1" t="inlineStr">
        <is>
          <t>CSE111</t>
        </is>
      </c>
      <c r="B20" s="1" t="inlineStr">
        <is>
          <t>Low Performance</t>
        </is>
      </c>
      <c r="C20" s="1" t="inlineStr">
        <is>
          <t>S03 - Projeto: Pressão da Água</t>
        </is>
      </c>
      <c r="D20" s="23" t="n">
        <v>4</v>
      </c>
      <c r="E20" s="23" t="n">
        <v>5</v>
      </c>
      <c r="F20" s="23" t="n">
        <v>100</v>
      </c>
      <c r="G20" s="24" t="n">
        <v>0.7</v>
      </c>
      <c r="H20" s="24" t="inlineStr">
        <is>
          <t>y</t>
        </is>
      </c>
      <c r="I20" s="26">
        <f>DATE(YEAR(Setup!$C$4),MONTH(Setup!$C$4),DAY(Setup!$C$4)+((D20-1)*7)+(E20-WEEKDAY(DATE(YEAR(Setup!$C$4),MONTH(Setup!$C$4),DAY(Setup!$C$4)),1)))</f>
        <v/>
      </c>
      <c r="J20" s="26">
        <f>I20+3</f>
        <v/>
      </c>
      <c r="K20" s="26">
        <f>(I20 + (7 - WEEKDAY(I20,1))) + 1</f>
        <v/>
      </c>
      <c r="L20" s="23">
        <f>F20*G20</f>
        <v/>
      </c>
      <c r="M20" s="1" t="inlineStr">
        <is>
          <t>Baixo desempenho: Projeto W03: Pressão da água</t>
        </is>
      </c>
      <c r="N20" s="1" t="inlineStr">
        <is>
          <t>Em risco. O aluno obteve nota abaixo de 70% no Projeto W03: Pressão da Água. Entre em contato para ver como você pode ajudar.</t>
        </is>
      </c>
    </row>
    <row r="21">
      <c r="A21" s="1" t="inlineStr">
        <is>
          <t>CSE111</t>
        </is>
      </c>
      <c r="B21" s="1" t="inlineStr">
        <is>
          <t>Missing Assignment</t>
        </is>
      </c>
      <c r="C21" s="1" t="inlineStr">
        <is>
          <t>S04 - Projeto: Química</t>
        </is>
      </c>
      <c r="D21" s="23" t="n">
        <v>5</v>
      </c>
      <c r="E21" s="23" t="n">
        <v>3</v>
      </c>
      <c r="G21" s="24" t="n"/>
      <c r="H21" s="24" t="inlineStr">
        <is>
          <t>y</t>
        </is>
      </c>
      <c r="I21" s="26">
        <f>DATE(YEAR(Setup!$C$4),MONTH(Setup!$C$4),DAY(Setup!$C$4)+((D21-1)*7)+(E21-WEEKDAY(DATE(YEAR(Setup!$C$4),MONTH(Setup!$C$4),DAY(Setup!$C$4)),1)))</f>
        <v/>
      </c>
      <c r="J21" s="26">
        <f>I21+3</f>
        <v/>
      </c>
      <c r="K21" s="26">
        <f>(I21 + (7 - WEEKDAY(I21,1))) + 1</f>
        <v/>
      </c>
      <c r="L21" s="23">
        <f>F21*G21</f>
        <v/>
      </c>
      <c r="M21" s="1" t="inlineStr">
        <is>
          <t>Tarefa Não Entregue: Projeto da W04: Química</t>
        </is>
      </c>
      <c r="N21" s="1" t="inlineStr">
        <is>
          <t>Entre em contato com o aluno que não entregou o Projeto da W04: Química</t>
        </is>
      </c>
    </row>
    <row r="22">
      <c r="A22" s="1" t="inlineStr">
        <is>
          <t>CSE111</t>
        </is>
      </c>
      <c r="B22" s="1" t="inlineStr">
        <is>
          <t>Quiz Question</t>
        </is>
      </c>
      <c r="C22" s="1" t="inlineStr">
        <is>
          <t>S04 - Reflexão: Precisa de Ajuda Resposta: Sim</t>
        </is>
      </c>
      <c r="D22" s="23" t="n">
        <v>5</v>
      </c>
      <c r="E22" s="23" t="n">
        <v>2</v>
      </c>
      <c r="G22" s="24" t="n"/>
      <c r="H22" s="24" t="inlineStr">
        <is>
          <t>y</t>
        </is>
      </c>
      <c r="I22" s="26">
        <f>DATE(YEAR(Setup!$C$4),MONTH(Setup!$C$4),DAY(Setup!$C$4)+((D22-1)*7)+(E22-WEEKDAY(DATE(YEAR(Setup!$C$4),MONTH(Setup!$C$4),DAY(Setup!$C$4)),1)))</f>
        <v/>
      </c>
      <c r="J22" s="26">
        <f>I22+3</f>
        <v/>
      </c>
      <c r="K22" s="26">
        <f>(I22 + (7 - WEEKDAY(I22,1))) + 1</f>
        <v/>
      </c>
      <c r="L22" s="23">
        <f>F22*G22</f>
        <v/>
      </c>
      <c r="M22" s="1" t="inlineStr">
        <is>
          <t>Resposta à Reflexão W04 - O aluno respondeu que está sobrecarregado.</t>
        </is>
      </c>
      <c r="N22" s="1" t="inlineStr">
        <is>
          <t>O(A) estudante respondeu que está se sentindo sobrecarregado(a) na Reflexão da W04. Entre em contato com o(a) estudante para ver como você pode ajudar.</t>
        </is>
      </c>
    </row>
    <row r="23">
      <c r="A23" s="1" t="inlineStr">
        <is>
          <t>CSE111</t>
        </is>
      </c>
      <c r="B23" s="1" t="inlineStr">
        <is>
          <t>Grader-Issued 0</t>
        </is>
      </c>
      <c r="C23" s="1" t="inlineStr">
        <is>
          <t>S04 - Projeto: Química</t>
        </is>
      </c>
      <c r="D23" s="23" t="n">
        <v>5</v>
      </c>
      <c r="E23" s="23" t="n">
        <v>4</v>
      </c>
      <c r="F23" s="23" t="n">
        <v>100</v>
      </c>
      <c r="G23" s="24" t="n"/>
      <c r="H23" s="24" t="inlineStr">
        <is>
          <t>y</t>
        </is>
      </c>
      <c r="I23" s="26">
        <f>DATE(YEAR(Setup!$C$4),MONTH(Setup!$C$4),DAY(Setup!$C$4)+((D23-1)*7)+(E23-WEEKDAY(DATE(YEAR(Setup!$C$4),MONTH(Setup!$C$4),DAY(Setup!$C$4)),1)))</f>
        <v/>
      </c>
      <c r="J23" s="26">
        <f>I23+3</f>
        <v/>
      </c>
      <c r="K23" s="26">
        <f>(I23 + (7 - WEEKDAY(I23,1))) + 1</f>
        <v/>
      </c>
      <c r="L23" s="23">
        <f>F23*G23</f>
        <v/>
      </c>
      <c r="M23" s="1" t="inlineStr">
        <is>
          <t>O estudante recebeu nota 0 atribuída pelo avaliador no Projeto W04: Chemistry</t>
        </is>
      </c>
      <c r="N23" s="44" t="inlineStr">
        <is>
          <t>Em risco. O avaliador atribuiu nota 0 no Projeto W04: Chemistry. Acesse o Canvas e veja os comentários do avaliador. Trabalhe com o estudante para ajudá-lo a enviar novamente.</t>
        </is>
      </c>
    </row>
    <row r="24">
      <c r="A24" s="1" t="inlineStr">
        <is>
          <t>CSE111</t>
        </is>
      </c>
      <c r="B24" s="1" t="inlineStr">
        <is>
          <t>Scheduled - Classwide</t>
        </is>
      </c>
      <c r="C24" s="1" t="inlineStr">
        <is>
          <t>Lembrete de Matrícula 1</t>
        </is>
      </c>
      <c r="D24" s="23" t="n">
        <v>5</v>
      </c>
      <c r="E24" s="23" t="n">
        <v>4</v>
      </c>
      <c r="G24" s="24" t="n"/>
      <c r="H24" s="24" t="inlineStr">
        <is>
          <t>y</t>
        </is>
      </c>
      <c r="I24" s="26">
        <f>DATE(YEAR(Setup!$C$4),MONTH(Setup!$C$4),DAY(Setup!$C$4)+((D24-1)*7)+(E24-WEEKDAY(DATE(YEAR(Setup!$C$4),MONTH(Setup!$C$4),DAY(Setup!$C$4)),1)))</f>
        <v/>
      </c>
      <c r="J24" s="26">
        <f>I24+3</f>
        <v/>
      </c>
      <c r="K24" s="26">
        <f>(I24 + (7 - WEEKDAY(I24,1))) + 1</f>
        <v/>
      </c>
      <c r="L24" s="23">
        <f>F24*G24</f>
        <v/>
      </c>
      <c r="M24" s="1" t="inlineStr">
        <is>
          <t>Lembrete de Matrícula 1</t>
        </is>
      </c>
      <c r="N24" s="43" t="inlineStr">
        <is>
          <t>Envie uma mensagem para todos os alunos, lembrando-os de que as inscrições para o próximo bloco já estão abertas e incentivando-os a agir.</t>
        </is>
      </c>
    </row>
    <row r="25">
      <c r="A25" s="1" t="inlineStr">
        <is>
          <t>CSE111</t>
        </is>
      </c>
      <c r="B25" s="1" t="inlineStr">
        <is>
          <t>High Performance</t>
        </is>
      </c>
      <c r="C25" s="1" t="inlineStr">
        <is>
          <t>S04 - Projeto: Química</t>
        </is>
      </c>
      <c r="D25" s="23" t="n">
        <v>5</v>
      </c>
      <c r="E25" s="23" t="n">
        <v>5</v>
      </c>
      <c r="F25" s="23" t="n">
        <v>100</v>
      </c>
      <c r="G25" s="24" t="n">
        <v>0.9</v>
      </c>
      <c r="H25" s="24" t="inlineStr">
        <is>
          <t>y</t>
        </is>
      </c>
      <c r="I25" s="26">
        <f>DATE(YEAR(Setup!$C$4),MONTH(Setup!$C$4),DAY(Setup!$C$4)+((D25-1)*7)+(E25-WEEKDAY(DATE(YEAR(Setup!$C$4),MONTH(Setup!$C$4),DAY(Setup!$C$4)),1)))</f>
        <v/>
      </c>
      <c r="J25" s="26">
        <f>I25+3</f>
        <v/>
      </c>
      <c r="K25" s="26">
        <f>(I25 + (7 - WEEKDAY(I25,1))) + 1</f>
        <v/>
      </c>
      <c r="L25" s="23">
        <f>F25*G25</f>
        <v/>
      </c>
      <c r="M25" s="1" t="inlineStr">
        <is>
          <t>Alto Desempenho: W04 Projeto: Química</t>
        </is>
      </c>
      <c r="N25" s="1" t="inlineStr">
        <is>
          <t>Forneça feedback positivo sobre o Projeto da W04: Química</t>
        </is>
      </c>
    </row>
    <row r="26">
      <c r="A26" s="1" t="inlineStr">
        <is>
          <t>CSE111</t>
        </is>
      </c>
      <c r="B26" s="1" t="inlineStr">
        <is>
          <t>Low Performance</t>
        </is>
      </c>
      <c r="C26" s="1" t="inlineStr">
        <is>
          <t>S04 - Projeto: Química</t>
        </is>
      </c>
      <c r="D26" s="23" t="n">
        <v>5</v>
      </c>
      <c r="E26" s="23" t="n">
        <v>5</v>
      </c>
      <c r="F26" s="23" t="n">
        <v>100</v>
      </c>
      <c r="G26" s="24" t="n">
        <v>0.7</v>
      </c>
      <c r="H26" s="24" t="inlineStr">
        <is>
          <t>y</t>
        </is>
      </c>
      <c r="I26" s="26">
        <f>DATE(YEAR(Setup!$C$4),MONTH(Setup!$C$4),DAY(Setup!$C$4)+((D26-1)*7)+(E26-WEEKDAY(DATE(YEAR(Setup!$C$4),MONTH(Setup!$C$4),DAY(Setup!$C$4)),1)))</f>
        <v/>
      </c>
      <c r="J26" s="26">
        <f>I26+3</f>
        <v/>
      </c>
      <c r="K26" s="26">
        <f>(I26 + (7 - WEEKDAY(I26,1))) + 1</f>
        <v/>
      </c>
      <c r="L26" s="23">
        <f>F26*G26</f>
        <v/>
      </c>
      <c r="M26" s="1" t="inlineStr">
        <is>
          <t>Baixo desempenho: Projeto W04: Química</t>
        </is>
      </c>
      <c r="N26" s="1" t="inlineStr">
        <is>
          <t>Em risco. O aluno pontuou abaixo de 70% no Projeto da W04: Química. Entre em contato para ver como pode ajudar.</t>
        </is>
      </c>
    </row>
    <row r="27">
      <c r="A27" s="1" t="inlineStr">
        <is>
          <t>CSE111</t>
        </is>
      </c>
      <c r="B27" s="1" t="inlineStr">
        <is>
          <t>Missing Assignment</t>
        </is>
      </c>
      <c r="C27" s="1" t="inlineStr">
        <is>
          <t>S05 - Projeto: Mercearia</t>
        </is>
      </c>
      <c r="D27" s="23" t="n">
        <v>6</v>
      </c>
      <c r="E27" s="23" t="n">
        <v>3</v>
      </c>
      <c r="G27" s="24" t="n"/>
      <c r="H27" s="24" t="inlineStr">
        <is>
          <t>y</t>
        </is>
      </c>
      <c r="I27" s="26">
        <f>DATE(YEAR(Setup!$C$4),MONTH(Setup!$C$4),DAY(Setup!$C$4)+((D27-1)*7)+(E27-WEEKDAY(DATE(YEAR(Setup!$C$4),MONTH(Setup!$C$4),DAY(Setup!$C$4)),1)))</f>
        <v/>
      </c>
      <c r="J27" s="26">
        <f>I27+3</f>
        <v/>
      </c>
      <c r="K27" s="26">
        <f>(I27 + (7 - WEEKDAY(I27,1))) + 1</f>
        <v/>
      </c>
      <c r="L27" s="23">
        <f>F27*G27</f>
        <v/>
      </c>
      <c r="M27" s="1" t="inlineStr">
        <is>
          <t>Tarefa Pendente: Projeto da W05: Mercearia</t>
        </is>
      </c>
      <c r="N27" s="1" t="inlineStr">
        <is>
          <t>Entre em contato com o aluno que não entregou o Projeto da W05: Supermercado</t>
        </is>
      </c>
    </row>
    <row r="28">
      <c r="A28" s="1" t="inlineStr">
        <is>
          <t>CSE111</t>
        </is>
      </c>
      <c r="B28" s="1" t="inlineStr">
        <is>
          <t>Quiz Question</t>
        </is>
      </c>
      <c r="C28" s="1" t="inlineStr">
        <is>
          <t>S05 - Reflexão: Precisa de Ajuda Resposta: Sim</t>
        </is>
      </c>
      <c r="D28" s="23" t="n">
        <v>6</v>
      </c>
      <c r="E28" s="23" t="n">
        <v>2</v>
      </c>
      <c r="G28" s="24" t="n"/>
      <c r="H28" s="24" t="inlineStr">
        <is>
          <t>y</t>
        </is>
      </c>
      <c r="I28" s="26">
        <f>DATE(YEAR(Setup!$C$4),MONTH(Setup!$C$4),DAY(Setup!$C$4)+((D28-1)*7)+(E28-WEEKDAY(DATE(YEAR(Setup!$C$4),MONTH(Setup!$C$4),DAY(Setup!$C$4)),1)))</f>
        <v/>
      </c>
      <c r="J28" s="26">
        <f>I28+3</f>
        <v/>
      </c>
      <c r="K28" s="26">
        <f>(I28 + (7 - WEEKDAY(I28,1))) + 1</f>
        <v/>
      </c>
      <c r="L28" s="23">
        <f>F28*G28</f>
        <v/>
      </c>
      <c r="M28" s="1" t="inlineStr">
        <is>
          <t>Resposta à Reflexão W05 - O aluno respondeu que está sobrecarregado.</t>
        </is>
      </c>
      <c r="N28" s="1" t="inlineStr">
        <is>
          <t>O aluno respondeu que está se sentindo sobrecarregado na Reflexão da W05. Entre em contato com o aluno para ver como pode ajudar.</t>
        </is>
      </c>
    </row>
    <row r="29">
      <c r="A29" s="1" t="inlineStr">
        <is>
          <t>CSE111</t>
        </is>
      </c>
      <c r="B29" s="1" t="inlineStr">
        <is>
          <t>Grader-Issued 0</t>
        </is>
      </c>
      <c r="C29" s="1" t="inlineStr">
        <is>
          <t>S05 - Projeto: Mercearia</t>
        </is>
      </c>
      <c r="D29" s="23" t="n">
        <v>6</v>
      </c>
      <c r="E29" s="23" t="n">
        <v>4</v>
      </c>
      <c r="F29" s="23" t="n">
        <v>100</v>
      </c>
      <c r="G29" s="24" t="n"/>
      <c r="H29" s="24" t="inlineStr">
        <is>
          <t>y</t>
        </is>
      </c>
      <c r="I29" s="26">
        <f>DATE(YEAR(Setup!$C$4),MONTH(Setup!$C$4),DAY(Setup!$C$4)+((D29-1)*7)+(E29-WEEKDAY(DATE(YEAR(Setup!$C$4),MONTH(Setup!$C$4),DAY(Setup!$C$4)),1)))</f>
        <v/>
      </c>
      <c r="J29" s="26">
        <f>I29+3</f>
        <v/>
      </c>
      <c r="K29" s="26">
        <f>(I29 + (7 - WEEKDAY(I29,1))) + 1</f>
        <v/>
      </c>
      <c r="L29" s="23">
        <f>F29*G29</f>
        <v/>
      </c>
      <c r="M29" s="1" t="inlineStr">
        <is>
          <t>O aluno recebeu uma nota 0 atribuída pelo avaliador no Projeto W05: Supermercado</t>
        </is>
      </c>
      <c r="N29" s="44" t="inlineStr">
        <is>
          <t>Em risco. O avaliador atribuiu nota 0 no Projeto da W05: Mercearia. Acesse o Canvas e veja os comentários do avaliador. Trabalhe com o aluno para ajudar no reenvio.</t>
        </is>
      </c>
    </row>
    <row r="30">
      <c r="A30" s="1" t="inlineStr">
        <is>
          <t>CSE111</t>
        </is>
      </c>
      <c r="B30" s="1" t="inlineStr">
        <is>
          <t>High Performance</t>
        </is>
      </c>
      <c r="C30" s="1" t="inlineStr">
        <is>
          <t>S05 - Projeto: Mercearia</t>
        </is>
      </c>
      <c r="D30" s="23" t="n">
        <v>6</v>
      </c>
      <c r="E30" s="23" t="n">
        <v>5</v>
      </c>
      <c r="F30" s="23" t="n">
        <v>100</v>
      </c>
      <c r="G30" s="24" t="n">
        <v>0.9</v>
      </c>
      <c r="H30" s="24" t="inlineStr">
        <is>
          <t>y</t>
        </is>
      </c>
      <c r="I30" s="26">
        <f>DATE(YEAR(Setup!$C$4),MONTH(Setup!$C$4),DAY(Setup!$C$4)+((D30-1)*7)+(E30-WEEKDAY(DATE(YEAR(Setup!$C$4),MONTH(Setup!$C$4),DAY(Setup!$C$4)),1)))</f>
        <v/>
      </c>
      <c r="J30" s="26">
        <f>I30+3</f>
        <v/>
      </c>
      <c r="K30" s="26">
        <f>(I30 + (7 - WEEKDAY(I30,1))) + 1</f>
        <v/>
      </c>
      <c r="L30" s="23">
        <f>F30*G30</f>
        <v/>
      </c>
      <c r="M30" s="1" t="inlineStr">
        <is>
          <t>Alto Desempenho: Projeto da W05: Grocery Store</t>
        </is>
      </c>
      <c r="N30" s="1" t="inlineStr">
        <is>
          <t>Forneça feedback positivo sobre o Projeto W05: Grocery Store</t>
        </is>
      </c>
    </row>
    <row r="31">
      <c r="A31" s="1" t="inlineStr">
        <is>
          <t>CSE111</t>
        </is>
      </c>
      <c r="B31" s="1" t="inlineStr">
        <is>
          <t>Low Performance</t>
        </is>
      </c>
      <c r="C31" s="1" t="inlineStr">
        <is>
          <t>S05 - Projeto: Mercearia</t>
        </is>
      </c>
      <c r="D31" s="23" t="n">
        <v>6</v>
      </c>
      <c r="E31" s="23" t="n">
        <v>5</v>
      </c>
      <c r="F31" s="23" t="n">
        <v>100</v>
      </c>
      <c r="G31" s="24" t="n">
        <v>0.7</v>
      </c>
      <c r="H31" s="24" t="inlineStr">
        <is>
          <t>y</t>
        </is>
      </c>
      <c r="I31" s="26">
        <f>DATE(YEAR(Setup!$C$4),MONTH(Setup!$C$4),DAY(Setup!$C$4)+((D31-1)*7)+(E31-WEEKDAY(DATE(YEAR(Setup!$C$4),MONTH(Setup!$C$4),DAY(Setup!$C$4)),1)))</f>
        <v/>
      </c>
      <c r="J31" s="26">
        <f>I31+3</f>
        <v/>
      </c>
      <c r="K31" s="26">
        <f>(I31 + (7 - WEEKDAY(I31,1))) + 1</f>
        <v/>
      </c>
      <c r="L31" s="23">
        <f>F31*G31</f>
        <v/>
      </c>
      <c r="M31" s="1" t="inlineStr">
        <is>
          <t>Baixo Desempenho: Projeto da W05: Mercearia</t>
        </is>
      </c>
      <c r="N31" s="1" t="inlineStr">
        <is>
          <t>Em risco. O aluno obteve nota inferior a 70% no Projeto da W05: Grocery Store. Entre em contato para ver como você pode ajudar.</t>
        </is>
      </c>
    </row>
    <row r="32">
      <c r="A32" s="1" t="inlineStr">
        <is>
          <t>CSE111</t>
        </is>
      </c>
      <c r="B32" s="1" t="inlineStr">
        <is>
          <t>Scheduled - Classwide</t>
        </is>
      </c>
      <c r="C32" s="1" t="inlineStr">
        <is>
          <t>Lembrete de Matrícula 2</t>
        </is>
      </c>
      <c r="D32" s="23" t="n">
        <v>7</v>
      </c>
      <c r="E32" s="23" t="n">
        <v>1</v>
      </c>
      <c r="G32" s="24" t="n"/>
      <c r="H32" s="24" t="inlineStr">
        <is>
          <t>y</t>
        </is>
      </c>
      <c r="I32" s="26">
        <f>DATE(YEAR(Setup!$C$4),MONTH(Setup!$C$4),DAY(Setup!$C$4)+((D32-1)*7)+(E32-WEEKDAY(DATE(YEAR(Setup!$C$4),MONTH(Setup!$C$4),DAY(Setup!$C$4)),1)))</f>
        <v/>
      </c>
      <c r="J32" s="26">
        <f>I32+3</f>
        <v/>
      </c>
      <c r="K32" s="26">
        <f>(I32 + (7 - WEEKDAY(I32,1))) + 1</f>
        <v/>
      </c>
      <c r="L32" s="23">
        <f>F32*G32</f>
        <v/>
      </c>
      <c r="M32" s="1" t="inlineStr">
        <is>
          <t>Lembrete de Matrícula 2</t>
        </is>
      </c>
      <c r="N32" s="43" t="inlineStr">
        <is>
          <t>Envie uma mensagem a todos os alunos, lembrando-os de que as inscrições para o próximo bloco ainda estão abertas, mas serão encerradas em breve. Incentive-os a acessar o sistema e se inscrever o quanto antes.</t>
        </is>
      </c>
    </row>
    <row r="33">
      <c r="A33" s="1" t="inlineStr">
        <is>
          <t>CSE111</t>
        </is>
      </c>
      <c r="B33" s="1" t="inlineStr">
        <is>
          <t>Scheduled - Classwide</t>
        </is>
      </c>
      <c r="C33" s="1" t="inlineStr">
        <is>
          <t>Lembrete de Fim de Bloco</t>
        </is>
      </c>
      <c r="D33" s="23" t="n">
        <v>7</v>
      </c>
      <c r="E33" s="23" t="n">
        <v>2</v>
      </c>
      <c r="G33" s="24" t="n"/>
      <c r="H33" s="24" t="inlineStr">
        <is>
          <t>y</t>
        </is>
      </c>
      <c r="I33" s="26">
        <f>DATE(YEAR(Setup!$C$4),MONTH(Setup!$C$4),DAY(Setup!$C$4)+((D33-1)*7)+(E33-WEEKDAY(DATE(YEAR(Setup!$C$4),MONTH(Setup!$C$4),DAY(Setup!$C$4)),1)))</f>
        <v/>
      </c>
      <c r="J33" s="26">
        <f>I33+3</f>
        <v/>
      </c>
      <c r="K33" s="26">
        <f>(I33 + (7 - WEEKDAY(I33,1))) + 1</f>
        <v/>
      </c>
      <c r="L33" s="23">
        <f>F33*G33</f>
        <v/>
      </c>
      <c r="M33" s="1" t="inlineStr">
        <is>
          <t>Lembrete de Fim de Bloco</t>
        </is>
      </c>
      <c r="N33" s="44" t="inlineStr">
        <is>
          <t>Lembre os alunos de que o curso será encerrado, para enviarem as tarefas dentro do prazo e preencherem a Avaliação de Fim de Curso</t>
        </is>
      </c>
    </row>
    <row r="34">
      <c r="G34" s="24" t="n"/>
      <c r="H34" s="24" t="n"/>
      <c r="I34" s="26" t="n"/>
      <c r="J34" s="26" t="n"/>
      <c r="K34" s="26" t="n"/>
    </row>
    <row r="35">
      <c r="G35" s="24" t="n"/>
      <c r="H35" s="24" t="n"/>
      <c r="I35" s="26" t="n"/>
      <c r="J35" s="26" t="n"/>
      <c r="K35" s="26" t="n"/>
    </row>
    <row r="36">
      <c r="G36" s="24" t="n"/>
      <c r="H36" s="24" t="n"/>
      <c r="I36" s="26" t="n"/>
      <c r="J36" s="26" t="n"/>
      <c r="K36" s="26" t="n"/>
    </row>
    <row r="37">
      <c r="G37" s="24" t="n"/>
      <c r="H37" s="24" t="n"/>
      <c r="I37" s="26" t="n"/>
      <c r="J37" s="26" t="n"/>
      <c r="K37" s="26" t="n"/>
    </row>
    <row r="38">
      <c r="G38" s="24" t="n"/>
      <c r="H38" s="24" t="n"/>
      <c r="I38" s="26" t="n"/>
      <c r="J38" s="26" t="n"/>
      <c r="K38" s="26" t="n"/>
    </row>
    <row r="39">
      <c r="G39" s="24" t="n"/>
      <c r="H39" s="24" t="n"/>
      <c r="I39" s="26" t="n"/>
      <c r="J39" s="26" t="n"/>
      <c r="K39" s="26" t="n"/>
    </row>
    <row r="40">
      <c r="G40" s="24" t="n"/>
      <c r="H40" s="24" t="n"/>
      <c r="I40" s="26" t="n"/>
      <c r="J40" s="26" t="n"/>
      <c r="K40" s="26" t="n"/>
    </row>
    <row r="41">
      <c r="G41" s="24" t="n"/>
      <c r="H41" s="24" t="n"/>
      <c r="I41" s="26" t="n"/>
      <c r="J41" s="26" t="n"/>
      <c r="K41" s="26" t="n"/>
    </row>
    <row r="42">
      <c r="G42" s="24" t="n"/>
      <c r="H42" s="24" t="n"/>
      <c r="I42" s="26" t="n"/>
      <c r="J42" s="26" t="n"/>
      <c r="K42" s="26" t="n"/>
    </row>
    <row r="43">
      <c r="G43" s="24" t="n"/>
      <c r="H43" s="24" t="n"/>
      <c r="I43" s="26" t="n"/>
      <c r="J43" s="26" t="n"/>
      <c r="K43" s="26" t="n"/>
    </row>
    <row r="44">
      <c r="G44" s="24" t="n"/>
      <c r="H44" s="24" t="n"/>
      <c r="I44" s="26" t="n"/>
      <c r="J44" s="26" t="n"/>
      <c r="K44" s="26" t="n"/>
    </row>
    <row r="45">
      <c r="G45" s="24" t="n"/>
      <c r="H45" s="24" t="n"/>
      <c r="I45" s="26" t="n"/>
      <c r="J45" s="26" t="n"/>
      <c r="K45" s="26" t="n"/>
    </row>
    <row r="46">
      <c r="G46" s="24" t="n"/>
      <c r="H46" s="24" t="n"/>
      <c r="I46" s="26" t="n"/>
      <c r="J46" s="26" t="n"/>
      <c r="K46" s="26" t="n"/>
    </row>
    <row r="47">
      <c r="G47" s="24" t="n"/>
      <c r="H47" s="24" t="n"/>
      <c r="I47" s="26" t="n"/>
      <c r="J47" s="26" t="n"/>
      <c r="K47" s="26" t="n"/>
    </row>
    <row r="48">
      <c r="G48" s="24" t="n"/>
      <c r="H48" s="24" t="n"/>
      <c r="I48" s="26" t="n"/>
      <c r="J48" s="26" t="n"/>
      <c r="K48" s="26" t="n"/>
    </row>
    <row r="49">
      <c r="G49" s="24" t="n"/>
      <c r="H49" s="24" t="n"/>
      <c r="I49" s="26" t="n"/>
      <c r="J49" s="26" t="n"/>
      <c r="K49" s="26" t="n"/>
    </row>
    <row r="50">
      <c r="G50" s="24" t="n"/>
      <c r="H50" s="24" t="n"/>
      <c r="I50" s="26" t="n"/>
      <c r="J50" s="26" t="n"/>
      <c r="K50" s="26" t="n"/>
    </row>
    <row r="51">
      <c r="G51" s="24" t="n"/>
      <c r="H51" s="24" t="n"/>
      <c r="I51" s="26" t="n"/>
      <c r="J51" s="26" t="n"/>
      <c r="K51" s="26" t="n"/>
    </row>
    <row r="52">
      <c r="G52" s="24" t="n"/>
      <c r="H52" s="24" t="n"/>
      <c r="I52" s="26" t="n"/>
      <c r="J52" s="26" t="n"/>
      <c r="K52" s="26" t="n"/>
    </row>
    <row r="53">
      <c r="G53" s="24" t="n"/>
      <c r="H53" s="24" t="n"/>
      <c r="I53" s="26" t="n"/>
      <c r="J53" s="26" t="n"/>
      <c r="K53" s="26" t="n"/>
    </row>
    <row r="54">
      <c r="G54" s="24" t="n"/>
      <c r="H54" s="24" t="n"/>
      <c r="I54" s="26" t="n"/>
      <c r="J54" s="26" t="n"/>
      <c r="K54" s="26" t="n"/>
    </row>
    <row r="55">
      <c r="G55" s="24" t="n"/>
      <c r="H55" s="24" t="n"/>
      <c r="I55" s="26" t="n"/>
      <c r="J55" s="26" t="n"/>
      <c r="K55" s="26" t="n"/>
    </row>
    <row r="56">
      <c r="G56" s="24" t="n"/>
      <c r="H56" s="24" t="n"/>
      <c r="I56" s="26" t="n"/>
      <c r="J56" s="26" t="n"/>
      <c r="K56" s="26" t="n"/>
    </row>
    <row r="57">
      <c r="G57" s="24" t="n"/>
      <c r="H57" s="24" t="n"/>
      <c r="I57" s="26" t="n"/>
      <c r="J57" s="26" t="n"/>
      <c r="K57" s="26" t="n"/>
    </row>
    <row r="58">
      <c r="G58" s="24" t="n"/>
      <c r="H58" s="24" t="n"/>
      <c r="I58" s="26" t="n"/>
      <c r="J58" s="26" t="n"/>
      <c r="K58" s="26" t="n"/>
    </row>
    <row r="59">
      <c r="G59" s="24" t="n"/>
      <c r="H59" s="24" t="n"/>
      <c r="I59" s="26" t="n"/>
      <c r="J59" s="26" t="n"/>
      <c r="K59" s="26" t="n"/>
    </row>
    <row r="60">
      <c r="G60" s="24" t="n"/>
      <c r="H60" s="24" t="n"/>
      <c r="I60" s="26" t="n"/>
      <c r="J60" s="26" t="n"/>
      <c r="K60" s="26" t="n"/>
    </row>
    <row r="61">
      <c r="G61" s="24" t="n"/>
      <c r="H61" s="24" t="n"/>
      <c r="I61" s="26" t="n"/>
      <c r="J61" s="26" t="n"/>
      <c r="K61" s="26" t="n"/>
    </row>
    <row r="62">
      <c r="G62" s="24" t="n"/>
      <c r="H62" s="24" t="n"/>
      <c r="I62" s="26" t="n"/>
      <c r="J62" s="26" t="n"/>
      <c r="K62" s="26" t="n"/>
    </row>
    <row r="63">
      <c r="G63" s="24" t="n"/>
      <c r="H63" s="24" t="n"/>
      <c r="I63" s="26" t="n"/>
      <c r="J63" s="26" t="n"/>
      <c r="K63" s="26" t="n"/>
    </row>
    <row r="64">
      <c r="G64" s="24" t="n"/>
      <c r="H64" s="24" t="n"/>
      <c r="I64" s="26" t="n"/>
      <c r="J64" s="26" t="n"/>
      <c r="K64" s="26" t="n"/>
    </row>
    <row r="65">
      <c r="G65" s="24" t="n"/>
      <c r="H65" s="24" t="n"/>
      <c r="I65" s="26" t="n"/>
      <c r="J65" s="26" t="n"/>
      <c r="K65" s="26" t="n"/>
    </row>
    <row r="66">
      <c r="G66" s="24" t="n"/>
      <c r="H66" s="24" t="n"/>
      <c r="I66" s="26" t="n"/>
      <c r="J66" s="26" t="n"/>
      <c r="K66" s="26" t="n"/>
    </row>
  </sheetData>
  <sheetProtection selectLockedCells="1" selectUnlockedCells="0" algorithmName="SHA-512" sheet="1" objects="0" insertRows="0" insertHyperlinks="1" autoFilter="0" scenarios="0" formatColumns="1" deleteColumns="1" insertColumns="1" pivotTables="1" deleteRows="0" formatCells="0" saltValue="hFGrbsiF0Sv1yBnr602w2Q==" formatRows="0" sort="0" spinCount="100000" hashValue="8b//zTd22PnILsjfL2PbJ1/vZEBxTHUzDdISIFRQz2umFj0kKkdLqNecHzRMU3OolECR8Gvy2uOQw0LuNXOEdw=="/>
  <autoFilter ref="A1:N66"/>
  <dataValidations count="3">
    <dataValidation sqref="B2:B9 B10: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6.xml><?xml version="1.0" encoding="utf-8"?>
<worksheet xmlns="http://schemas.openxmlformats.org/spreadsheetml/2006/main">
  <sheetPr codeName="Sheet4">
    <tabColor rgb="FF00B050"/>
    <outlinePr summaryBelow="1" summaryRight="1"/>
    <pageSetUpPr/>
  </sheetPr>
  <dimension ref="A1:N23"/>
  <sheetViews>
    <sheetView workbookViewId="0">
      <pane xSplit="3" topLeftCell="D1" activePane="topRight" state="frozen"/>
      <selection pane="topRight" activeCell="A2" sqref="A2"/>
      <selection activeCell="D12" sqref="D12"/>
    </sheetView>
  </sheetViews>
  <sheetFormatPr baseColWidth="8" defaultColWidth="8.85546875" defaultRowHeight="15"/>
  <cols>
    <col width="11.85546875" bestFit="1" customWidth="1" style="1" min="1" max="1"/>
    <col width="24.28515625" customWidth="1" style="1" min="2" max="2"/>
    <col width="31.85546875" customWidth="1" style="1" min="3" max="3"/>
    <col width="29.140625" customWidth="1" style="1" min="4" max="4"/>
    <col width="14" customWidth="1" style="23" min="5" max="6"/>
    <col width="14.14062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CSE210</t>
        </is>
      </c>
      <c r="B2" s="1" t="inlineStr">
        <is>
          <t>New Student Added</t>
        </is>
      </c>
      <c r="D2" s="23" t="n">
        <v>0</v>
      </c>
      <c r="E2" s="23" t="n">
        <v>2</v>
      </c>
      <c r="G2" s="24" t="n"/>
      <c r="H2" s="24" t="inlineStr">
        <is>
          <t>y</t>
        </is>
      </c>
      <c r="I2" s="26">
        <f>DATE(YEAR(Setup!$C$4),MONTH(Setup!$C$4),DAY(Setup!$C$4)+((D2-1)*7)+(E2-WEEKDAY(DATE(YEAR(Setup!$C$4),MONTH(Setup!$C$4),DAY(Setup!$C$4)),1)))</f>
        <v/>
      </c>
      <c r="J2" s="26">
        <f>I2+3</f>
        <v/>
      </c>
      <c r="K2" s="26">
        <f>(I2 + (7 - WEEKDAY(I2,1))) + 1</f>
        <v/>
      </c>
      <c r="L2" s="23">
        <f>F2*G2</f>
        <v/>
      </c>
      <c r="M2" s="1" t="inlineStr">
        <is>
          <t>E-mail de Boas-vindas</t>
        </is>
      </c>
    </row>
    <row r="3">
      <c r="A3" s="1" t="inlineStr">
        <is>
          <t>CSE210</t>
        </is>
      </c>
      <c r="B3" s="1" t="inlineStr">
        <is>
          <t>Scheduled - Not Logged In</t>
        </is>
      </c>
      <c r="C3" s="1" t="inlineStr">
        <is>
          <t>Não Fez Login</t>
        </is>
      </c>
      <c r="D3" s="23" t="n">
        <v>1</v>
      </c>
      <c r="E3" s="23" t="n">
        <v>4</v>
      </c>
      <c r="G3" s="24" t="n"/>
      <c r="H3" s="24" t="inlineStr">
        <is>
          <t>y</t>
        </is>
      </c>
      <c r="I3" s="26">
        <f>DATE(YEAR(Setup!$C$4),MONTH(Setup!$C$4),DAY(Setup!$C$4)+((D3-1)*7)+(E3-WEEKDAY(DATE(YEAR(Setup!$C$4),MONTH(Setup!$C$4),DAY(Setup!$C$4)),1)))</f>
        <v/>
      </c>
      <c r="J3" s="26">
        <f>I3+3</f>
        <v/>
      </c>
      <c r="K3" s="26">
        <f>(I3 + (7 - WEEKDAY(I3,1))) + 1</f>
        <v/>
      </c>
      <c r="L3" s="23">
        <f>F3*G3</f>
        <v/>
      </c>
      <c r="M3" s="1" t="inlineStr">
        <is>
          <t>Não fez login no Canvas</t>
        </is>
      </c>
      <c r="N3" s="43" t="inlineStr">
        <is>
          <t>Envie um e-mail (fora do IMS) para os estudantes que não fizeram login no Canvas, lembrando-os de que o período letivo começou e incentivando-os a começar.</t>
        </is>
      </c>
    </row>
    <row r="4">
      <c r="A4" s="1" t="inlineStr">
        <is>
          <t>CSE210</t>
        </is>
      </c>
      <c r="B4" s="1" t="inlineStr">
        <is>
          <t>Missing Assignment</t>
        </is>
      </c>
      <c r="C4" s="1" t="inlineStr">
        <is>
          <t>S01 - Tarefa: Exercícios de Programação em C#</t>
        </is>
      </c>
      <c r="D4" s="23" t="n">
        <v>2</v>
      </c>
      <c r="E4" s="23" t="n">
        <v>2</v>
      </c>
      <c r="G4" s="24" t="n"/>
      <c r="H4" s="24" t="inlineStr">
        <is>
          <t>y</t>
        </is>
      </c>
      <c r="I4" s="26">
        <f>DATE(YEAR(Setup!$C$4),MONTH(Setup!$C$4),DAY(Setup!$C$4)+((D4-1)*7)+(E4-WEEKDAY(DATE(YEAR(Setup!$C$4),MONTH(Setup!$C$4),DAY(Setup!$C$4)),1)))</f>
        <v/>
      </c>
      <c r="J4" s="26">
        <f>I4+3</f>
        <v/>
      </c>
      <c r="K4" s="26">
        <f>(I4 + (7 - WEEKDAY(I4,1))) + 1</f>
        <v/>
      </c>
      <c r="L4" s="23">
        <f>F4*G4</f>
        <v/>
      </c>
      <c r="M4" s="1" t="inlineStr">
        <is>
          <t>Tarefa Pendente: Tarefa da W01: Exercícios de Programação em C#</t>
        </is>
      </c>
      <c r="N4" s="1" t="inlineStr">
        <is>
          <t>Entre em contato com o aluno que não enviou a Tarefa da W01: C# Programming Exercises</t>
        </is>
      </c>
    </row>
    <row r="5">
      <c r="A5" s="1" t="inlineStr">
        <is>
          <t>CSE210</t>
        </is>
      </c>
      <c r="B5" s="1" t="inlineStr">
        <is>
          <t>Grader-Issued 0</t>
        </is>
      </c>
      <c r="C5" s="1" t="inlineStr">
        <is>
          <t>S01 - Tarefa: Exercícios de Programação em C#</t>
        </is>
      </c>
      <c r="D5" s="23" t="n">
        <v>2</v>
      </c>
      <c r="E5" s="23" t="n">
        <v>4</v>
      </c>
      <c r="F5" s="23" t="n">
        <v>100</v>
      </c>
      <c r="G5" s="24" t="n"/>
      <c r="H5" s="24" t="inlineStr">
        <is>
          <t>y</t>
        </is>
      </c>
      <c r="I5" s="26">
        <f>DATE(YEAR(Setup!$C$4),MONTH(Setup!$C$4),DAY(Setup!$C$4)+((D5-1)*7)+(E5-WEEKDAY(DATE(YEAR(Setup!$C$4),MONTH(Setup!$C$4),DAY(Setup!$C$4)),1)))</f>
        <v/>
      </c>
      <c r="J5" s="26">
        <f>I5+3</f>
        <v/>
      </c>
      <c r="K5" s="26">
        <f>(I5 + (7 - WEEKDAY(I5,1))) + 1</f>
        <v/>
      </c>
      <c r="L5" s="23">
        <f>F5*G5</f>
        <v/>
      </c>
      <c r="M5" s="1" t="inlineStr">
        <is>
          <t>O aluno recebeu nota 0 atribuída pelo avaliador na Tarefa da W01: C# Programming Exercises</t>
        </is>
      </c>
      <c r="N5" s="44" t="inlineStr">
        <is>
          <t>O avaliador atribuiu nota 0. Faça login no Canvas e veja os comentários do avaliador. Trabalhe com o estudante para ajudá-lo a reenviar.</t>
        </is>
      </c>
    </row>
    <row r="6">
      <c r="A6" s="1" t="inlineStr">
        <is>
          <t>CSE210</t>
        </is>
      </c>
      <c r="B6" s="1" t="inlineStr">
        <is>
          <t>High Performance</t>
        </is>
      </c>
      <c r="C6" s="1" t="inlineStr">
        <is>
          <t>S01 - Tarefa: Exercícios de Programação em C#</t>
        </is>
      </c>
      <c r="D6" s="23" t="n">
        <v>2</v>
      </c>
      <c r="E6" s="23" t="n">
        <v>5</v>
      </c>
      <c r="F6" s="23" t="n">
        <v>100</v>
      </c>
      <c r="G6" s="24" t="n">
        <v>0.9</v>
      </c>
      <c r="H6" s="24" t="inlineStr">
        <is>
          <t>y</t>
        </is>
      </c>
      <c r="I6" s="26">
        <f>DATE(YEAR(Setup!$C$4),MONTH(Setup!$C$4),DAY(Setup!$C$4)+((D6-1)*7)+(E6-WEEKDAY(DATE(YEAR(Setup!$C$4),MONTH(Setup!$C$4),DAY(Setup!$C$4)),1)))</f>
        <v/>
      </c>
      <c r="J6" s="26">
        <f>I6+3</f>
        <v/>
      </c>
      <c r="K6" s="26">
        <f>(I6 + (7 - WEEKDAY(I6,1))) + 1</f>
        <v/>
      </c>
      <c r="L6" s="23">
        <f>F6*G6</f>
        <v/>
      </c>
      <c r="M6" s="1" t="inlineStr">
        <is>
          <t>Alto Desempenho: Tarefa da W01: Exercícios de Programação em C#</t>
        </is>
      </c>
      <c r="N6" s="1" t="inlineStr">
        <is>
          <t>Fornecer Feedback Positivo</t>
        </is>
      </c>
    </row>
    <row r="7">
      <c r="A7" s="1" t="inlineStr">
        <is>
          <t>CSE210</t>
        </is>
      </c>
      <c r="B7" s="1" t="inlineStr">
        <is>
          <t>Low Performance</t>
        </is>
      </c>
      <c r="C7" s="1" t="inlineStr">
        <is>
          <t>S01 - Tarefa: Exercícios de Programação em C#</t>
        </is>
      </c>
      <c r="D7" s="23" t="n">
        <v>2</v>
      </c>
      <c r="E7" s="23" t="n">
        <v>5</v>
      </c>
      <c r="F7" s="23" t="n">
        <v>100</v>
      </c>
      <c r="G7" s="24" t="n">
        <v>0.7</v>
      </c>
      <c r="H7" s="24" t="inlineStr">
        <is>
          <t>y</t>
        </is>
      </c>
      <c r="I7" s="26">
        <f>DATE(YEAR(Setup!$C$4),MONTH(Setup!$C$4),DAY(Setup!$C$4)+((D7-1)*7)+(E7-WEEKDAY(DATE(YEAR(Setup!$C$4),MONTH(Setup!$C$4),DAY(Setup!$C$4)),1)))</f>
        <v/>
      </c>
      <c r="J7" s="26">
        <f>I7+3</f>
        <v/>
      </c>
      <c r="K7" s="26">
        <f>(I7 + (7 - WEEKDAY(I7,1))) + 1</f>
        <v/>
      </c>
      <c r="L7" s="23">
        <f>F7*G7</f>
        <v/>
      </c>
      <c r="M7" s="1" t="inlineStr">
        <is>
          <t>Baixo Desempenho: Tarefa da W01: Exercícios de Programação em C#</t>
        </is>
      </c>
      <c r="N7" s="1" t="inlineStr">
        <is>
          <t>Em risco. O aluno pontuou abaixo de 70% em Entre em contato para ver como pode ajudar.</t>
        </is>
      </c>
    </row>
    <row r="8">
      <c r="A8" s="1" t="inlineStr">
        <is>
          <t>CSE210</t>
        </is>
      </c>
      <c r="B8" s="1" t="inlineStr">
        <is>
          <t>Missing Assignment</t>
        </is>
      </c>
      <c r="C8" s="1" t="inlineStr">
        <is>
          <t>S02 - Projeto: Programa de Diário</t>
        </is>
      </c>
      <c r="D8" s="23" t="n">
        <v>3</v>
      </c>
      <c r="E8" s="23" t="n">
        <v>2</v>
      </c>
      <c r="G8" s="24" t="n"/>
      <c r="H8" s="24" t="inlineStr">
        <is>
          <t>y</t>
        </is>
      </c>
      <c r="I8" s="26">
        <f>DATE(YEAR(Setup!$C$4),MONTH(Setup!$C$4),DAY(Setup!$C$4)+((D8-1)*7)+(E8-WEEKDAY(DATE(YEAR(Setup!$C$4),MONTH(Setup!$C$4),DAY(Setup!$C$4)),1)))</f>
        <v/>
      </c>
      <c r="J8" s="26">
        <f>I8+3</f>
        <v/>
      </c>
      <c r="K8" s="26">
        <f>(I8 + (7 - WEEKDAY(I8,1))) + 1</f>
        <v/>
      </c>
      <c r="L8" s="23">
        <f>F8*G8</f>
        <v/>
      </c>
      <c r="M8" s="1" t="inlineStr">
        <is>
          <t>Tarefa Pendente: Projeto da W02: Journal Program</t>
        </is>
      </c>
      <c r="N8" s="1" t="inlineStr">
        <is>
          <t>Entre em contato com o estudante que não entregou o Projeto da W02: Programa de Diário</t>
        </is>
      </c>
    </row>
    <row r="9">
      <c r="A9" s="1" t="inlineStr">
        <is>
          <t>CSE210</t>
        </is>
      </c>
      <c r="B9" s="1" t="inlineStr">
        <is>
          <t>Grader-Issued 0</t>
        </is>
      </c>
      <c r="C9" s="1" t="inlineStr">
        <is>
          <t>S02 - Projeto: Programa de Diário</t>
        </is>
      </c>
      <c r="D9" s="23" t="n">
        <v>3</v>
      </c>
      <c r="E9" s="23" t="n">
        <v>4</v>
      </c>
      <c r="F9" s="23" t="n">
        <v>100</v>
      </c>
      <c r="G9" s="24" t="n"/>
      <c r="H9" s="24" t="inlineStr">
        <is>
          <t>y</t>
        </is>
      </c>
      <c r="I9" s="26">
        <f>DATE(YEAR(Setup!$C$4),MONTH(Setup!$C$4),DAY(Setup!$C$4)+((D9-1)*7)+(E9-WEEKDAY(DATE(YEAR(Setup!$C$4),MONTH(Setup!$C$4),DAY(Setup!$C$4)),1)))</f>
        <v/>
      </c>
      <c r="J9" s="26">
        <f>I9+3</f>
        <v/>
      </c>
      <c r="K9" s="26">
        <f>(I9 + (7 - WEEKDAY(I9,1))) + 1</f>
        <v/>
      </c>
      <c r="L9" s="23">
        <f>F9*G9</f>
        <v/>
      </c>
      <c r="M9" s="1" t="inlineStr">
        <is>
          <t>O aluno recebeu nota 0 atribuída pelo avaliador no Projeto W02: Programa de Diário</t>
        </is>
      </c>
      <c r="N9" s="44" t="inlineStr">
        <is>
          <t>Nota 0 atribuída pelo avaliador para o Projeto da W02: Journal Program. Acesse o Canvas e veja os comentários do avaliador. Trabalhe com o aluno para ajudá-lo a enviar novamente.</t>
        </is>
      </c>
    </row>
    <row r="10">
      <c r="A10" s="1" t="inlineStr">
        <is>
          <t>CSE210</t>
        </is>
      </c>
      <c r="B10" s="1" t="inlineStr">
        <is>
          <t>High Performance</t>
        </is>
      </c>
      <c r="C10" s="1" t="inlineStr">
        <is>
          <t>S02 - Projeto: Programa de Diário</t>
        </is>
      </c>
      <c r="D10" s="23" t="n">
        <v>3</v>
      </c>
      <c r="E10" s="23" t="n">
        <v>5</v>
      </c>
      <c r="F10" s="23" t="n">
        <v>100</v>
      </c>
      <c r="G10" s="24" t="n">
        <v>0.9</v>
      </c>
      <c r="H10" s="24" t="inlineStr">
        <is>
          <t>y</t>
        </is>
      </c>
      <c r="I10" s="26">
        <f>DATE(YEAR(Setup!$C$4),MONTH(Setup!$C$4),DAY(Setup!$C$4)+((D10-1)*7)+(E10-WEEKDAY(DATE(YEAR(Setup!$C$4),MONTH(Setup!$C$4),DAY(Setup!$C$4)),1)))</f>
        <v/>
      </c>
      <c r="J10" s="26">
        <f>I10+3</f>
        <v/>
      </c>
      <c r="K10" s="26">
        <f>(I10 + (7 - WEEKDAY(I10,1))) + 1</f>
        <v/>
      </c>
      <c r="L10" s="23">
        <f>F10*G10</f>
        <v/>
      </c>
      <c r="M10" s="1" t="inlineStr">
        <is>
          <t>Alto Desempenho: Projeto W02: Journal Program</t>
        </is>
      </c>
      <c r="N10" s="1" t="inlineStr">
        <is>
          <t>Fornecer Feedback Positivo no Projeto da W02: Programa de Diário</t>
        </is>
      </c>
    </row>
    <row r="11">
      <c r="A11" s="1" t="inlineStr">
        <is>
          <t>CSE210</t>
        </is>
      </c>
      <c r="B11" s="1" t="inlineStr">
        <is>
          <t>Low Performance</t>
        </is>
      </c>
      <c r="C11" s="1" t="inlineStr">
        <is>
          <t>S02 - Projeto: Programa de Diário</t>
        </is>
      </c>
      <c r="D11" s="23" t="n">
        <v>3</v>
      </c>
      <c r="E11" s="23" t="n">
        <v>5</v>
      </c>
      <c r="F11" s="23" t="n">
        <v>100</v>
      </c>
      <c r="G11" s="24" t="n">
        <v>0.7</v>
      </c>
      <c r="H11" s="24" t="inlineStr">
        <is>
          <t>y</t>
        </is>
      </c>
      <c r="I11" s="26">
        <f>DATE(YEAR(Setup!$C$4),MONTH(Setup!$C$4),DAY(Setup!$C$4)+((D11-1)*7)+(E11-WEEKDAY(DATE(YEAR(Setup!$C$4),MONTH(Setup!$C$4),DAY(Setup!$C$4)),1)))</f>
        <v/>
      </c>
      <c r="J11" s="26">
        <f>I11+3</f>
        <v/>
      </c>
      <c r="K11" s="26">
        <f>(I11 + (7 - WEEKDAY(I11,1))) + 1</f>
        <v/>
      </c>
      <c r="L11" s="23">
        <f>F11*G11</f>
        <v/>
      </c>
      <c r="M11" s="1" t="inlineStr">
        <is>
          <t>Baixo Desempenho: Projeto da W02: Programa de Diário</t>
        </is>
      </c>
      <c r="N11" s="1" t="inlineStr">
        <is>
          <t>Em risco. O aluno obteve nota inferior a 70% no Projeto W02: Programa de Diário. Entre em contato para ver como você pode ajudar.</t>
        </is>
      </c>
    </row>
    <row r="12" customFormat="1" s="64">
      <c r="A12" s="1" t="inlineStr">
        <is>
          <t>CSE210</t>
        </is>
      </c>
      <c r="B12" s="1" t="inlineStr">
        <is>
          <t>Missing Assignment</t>
        </is>
      </c>
      <c r="C12" s="1" t="inlineStr">
        <is>
          <t>S03 - Projeto: Programa de Memorização de Escrituras</t>
        </is>
      </c>
      <c r="D12" s="23" t="n">
        <v>4</v>
      </c>
      <c r="E12" s="23" t="n">
        <v>2</v>
      </c>
      <c r="F12" s="23" t="n"/>
      <c r="G12" s="24" t="n"/>
      <c r="H12" s="24" t="inlineStr">
        <is>
          <t>y</t>
        </is>
      </c>
      <c r="I12" s="26">
        <f>DATE(YEAR(Setup!$C$4),MONTH(Setup!$C$4),DAY(Setup!$C$4)+((D12-1)*7)+(E12-WEEKDAY(DATE(YEAR(Setup!$C$4),MONTH(Setup!$C$4),DAY(Setup!$C$4)),1)))</f>
        <v/>
      </c>
      <c r="J12" s="26">
        <f>I12+3</f>
        <v/>
      </c>
      <c r="K12" s="26">
        <f>(I12 + (7 - WEEKDAY(I12,1))) + 1</f>
        <v/>
      </c>
      <c r="L12" s="23">
        <f>F12*G12</f>
        <v/>
      </c>
      <c r="M12" s="1" t="inlineStr">
        <is>
          <t>Tarefa Pendente: Projeto da W03: Programa de Memorização de Escrituras</t>
        </is>
      </c>
      <c r="N12" s="1" t="inlineStr">
        <is>
          <t>Entre em contato com o aluno que não entregou o Projeto da W03: Programa de Memorização de Escrituras</t>
        </is>
      </c>
    </row>
    <row r="13">
      <c r="A13" s="1" t="inlineStr">
        <is>
          <t>CSE210</t>
        </is>
      </c>
      <c r="B13" s="1" t="inlineStr">
        <is>
          <t>Grader-Issued 0</t>
        </is>
      </c>
      <c r="C13" s="1" t="inlineStr">
        <is>
          <t>S03 - Projeto: Programa de Memorização de Escrituras</t>
        </is>
      </c>
      <c r="D13" s="23" t="n">
        <v>4</v>
      </c>
      <c r="E13" s="23" t="n">
        <v>4</v>
      </c>
      <c r="F13" s="23" t="n">
        <v>100</v>
      </c>
      <c r="G13" s="24" t="n"/>
      <c r="H13" s="24" t="inlineStr">
        <is>
          <t>y</t>
        </is>
      </c>
      <c r="I13" s="26">
        <f>DATE(YEAR(Setup!$C$4),MONTH(Setup!$C$4),DAY(Setup!$C$4)+((D13-1)*7)+(E13-WEEKDAY(DATE(YEAR(Setup!$C$4),MONTH(Setup!$C$4),DAY(Setup!$C$4)),1)))</f>
        <v/>
      </c>
      <c r="J13" s="26">
        <f>I13+3</f>
        <v/>
      </c>
      <c r="K13" s="26">
        <f>(I13 + (7 - WEEKDAY(I13,1))) + 1</f>
        <v/>
      </c>
      <c r="L13" s="23">
        <f>F13*G13</f>
        <v/>
      </c>
      <c r="M13" s="1" t="inlineStr">
        <is>
          <t>O aluno recebeu uma nota 0 atribuída pelo avaliador no W03 Projeto: Programa de Memorização de Escrituras</t>
        </is>
      </c>
      <c r="N13" s="44" t="inlineStr">
        <is>
          <t>O avaliador atribuiu nota 0 para o Projeto da W03: Programa de Memorização de Escrituras. Acesse o Canvas e veja os comentários do avaliador. Trabalhe com o aluno para ajudar no reenvio.</t>
        </is>
      </c>
    </row>
    <row r="14">
      <c r="A14" s="1" t="inlineStr">
        <is>
          <t>CSE210</t>
        </is>
      </c>
      <c r="B14" s="1" t="inlineStr">
        <is>
          <t>Scheduled - Low Current Grade</t>
        </is>
      </c>
      <c r="C14" s="1" t="inlineStr">
        <is>
          <t>Lembrete do Prazo Limite de Desistência</t>
        </is>
      </c>
      <c r="D14" s="23" t="n">
        <v>4</v>
      </c>
      <c r="E14" s="23" t="n">
        <v>4</v>
      </c>
      <c r="G14" s="24" t="n">
        <v>0.4</v>
      </c>
      <c r="H14" s="24" t="inlineStr">
        <is>
          <t>y</t>
        </is>
      </c>
      <c r="I14" s="26">
        <f>DATE(YEAR(Setup!$C$4),MONTH(Setup!$C$4),DAY(Setup!$C$4)+((D14-1)*7)+(E14-WEEKDAY(DATE(YEAR(Setup!$C$4),MONTH(Setup!$C$4),DAY(Setup!$C$4)),1)))</f>
        <v/>
      </c>
      <c r="J14" s="26">
        <f>I14+3</f>
        <v/>
      </c>
      <c r="K14" s="26">
        <f>(I14 + (7 - WEEKDAY(I14,1))) + 1</f>
        <v/>
      </c>
      <c r="L14" s="23">
        <f>F14*G14</f>
        <v/>
      </c>
      <c r="M14" s="1" t="inlineStr">
        <is>
          <t>Aluno em situação de reprovação. Lembrete de cancelamento de matrícula</t>
        </is>
      </c>
      <c r="N14" s="1" t="inlineStr">
        <is>
          <t>Envie um e-mail para os alunos que estão reprovando no momento e que têm poucas chances de recuperação, lembrando-os do prazo de trancamento.</t>
        </is>
      </c>
    </row>
    <row r="15">
      <c r="A15" s="1" t="inlineStr">
        <is>
          <t>CSE210</t>
        </is>
      </c>
      <c r="B15" s="1" t="inlineStr">
        <is>
          <t>High Performance</t>
        </is>
      </c>
      <c r="C15" s="1" t="inlineStr">
        <is>
          <t>S03 - Projeto: Programa de Memorização de Escrituras</t>
        </is>
      </c>
      <c r="D15" s="23" t="n">
        <v>4</v>
      </c>
      <c r="E15" s="23" t="n">
        <v>5</v>
      </c>
      <c r="F15" s="23" t="n">
        <v>100</v>
      </c>
      <c r="G15" s="24" t="n">
        <v>0.9</v>
      </c>
      <c r="H15" s="24" t="inlineStr">
        <is>
          <t>y</t>
        </is>
      </c>
      <c r="I15" s="26">
        <f>DATE(YEAR(Setup!$C$4),MONTH(Setup!$C$4),DAY(Setup!$C$4)+((D15-1)*7)+(E15-WEEKDAY(DATE(YEAR(Setup!$C$4),MONTH(Setup!$C$4),DAY(Setup!$C$4)),1)))</f>
        <v/>
      </c>
      <c r="J15" s="26">
        <f>I15+3</f>
        <v/>
      </c>
      <c r="K15" s="26">
        <f>(I15 + (7 - WEEKDAY(I15,1))) + 1</f>
        <v/>
      </c>
      <c r="L15" s="23">
        <f>F15*G15</f>
        <v/>
      </c>
      <c r="M15" s="1" t="inlineStr">
        <is>
          <t>Alto Desempenho: Projeto da W03: Programa de Memorização de Escrituras</t>
        </is>
      </c>
      <c r="N15" s="1" t="inlineStr">
        <is>
          <t>Forneça feedback positivo sobre o Projeto W03: Scripture Memorizer Program</t>
        </is>
      </c>
    </row>
    <row r="16">
      <c r="A16" s="1" t="inlineStr">
        <is>
          <t>CSE210</t>
        </is>
      </c>
      <c r="B16" s="1" t="inlineStr">
        <is>
          <t>Low Performance</t>
        </is>
      </c>
      <c r="C16" s="1" t="inlineStr">
        <is>
          <t>S03 - Projeto: Programa de Memorização de Escrituras</t>
        </is>
      </c>
      <c r="D16" s="23" t="n">
        <v>4</v>
      </c>
      <c r="E16" s="23" t="n">
        <v>5</v>
      </c>
      <c r="F16" s="23" t="n">
        <v>100</v>
      </c>
      <c r="G16" s="24" t="n">
        <v>0.7</v>
      </c>
      <c r="H16" s="24" t="inlineStr">
        <is>
          <t>y</t>
        </is>
      </c>
      <c r="I16" s="26">
        <f>DATE(YEAR(Setup!$C$4),MONTH(Setup!$C$4),DAY(Setup!$C$4)+((D16-1)*7)+(E16-WEEKDAY(DATE(YEAR(Setup!$C$4),MONTH(Setup!$C$4),DAY(Setup!$C$4)),1)))</f>
        <v/>
      </c>
      <c r="J16" s="26">
        <f>I16+3</f>
        <v/>
      </c>
      <c r="K16" s="26">
        <f>(I16 + (7 - WEEKDAY(I16,1))) + 1</f>
        <v/>
      </c>
      <c r="L16" s="23">
        <f>F16*G16</f>
        <v/>
      </c>
      <c r="M16" s="1" t="inlineStr">
        <is>
          <t>Baixo Desempenho: Projeto da W03: Scripture Memorizer Program</t>
        </is>
      </c>
      <c r="N16" s="1" t="inlineStr">
        <is>
          <t>Em Risco. O aluno obteve menos de 70% no Projeto da W03: Programa de Memorização de Escrituras. Entre em contato para ver como você pode ajudar.</t>
        </is>
      </c>
    </row>
    <row r="17">
      <c r="A17" s="1" t="inlineStr">
        <is>
          <t>CSE210</t>
        </is>
      </c>
      <c r="B17" s="1" t="inlineStr">
        <is>
          <t>Scheduled - Classwide</t>
        </is>
      </c>
      <c r="C17" s="1" t="inlineStr">
        <is>
          <t>Lembrete de Matrícula 1</t>
        </is>
      </c>
      <c r="D17" s="23" t="n">
        <v>5</v>
      </c>
      <c r="E17" s="23" t="n">
        <v>4</v>
      </c>
      <c r="G17" s="24" t="n"/>
      <c r="H17" s="24" t="inlineStr">
        <is>
          <t>y</t>
        </is>
      </c>
      <c r="I17" s="26">
        <f>DATE(YEAR(Setup!$C$4),MONTH(Setup!$C$4),DAY(Setup!$C$4)+((D17-1)*7)+(E17-WEEKDAY(DATE(YEAR(Setup!$C$4),MONTH(Setup!$C$4),DAY(Setup!$C$4)),1)))</f>
        <v/>
      </c>
      <c r="J17" s="26">
        <f>I17+3</f>
        <v/>
      </c>
      <c r="K17" s="26">
        <f>(I17 + (7 - WEEKDAY(I17,1))) + 1</f>
        <v/>
      </c>
      <c r="L17" s="23">
        <f>F17*G17</f>
        <v/>
      </c>
      <c r="M17" s="1" t="inlineStr">
        <is>
          <t>Lembrete de Matrícula 1</t>
        </is>
      </c>
      <c r="N17" s="43" t="inlineStr">
        <is>
          <t>Envie uma mensagem para todos os alunos, lembrando-os de que as inscrições para o próximo bloco já estão abertas e incentivando-os a agir.</t>
        </is>
      </c>
    </row>
    <row r="18">
      <c r="A18" s="1" t="inlineStr">
        <is>
          <t>CSE210</t>
        </is>
      </c>
      <c r="B18" s="1" t="inlineStr">
        <is>
          <t>Missing Assignment</t>
        </is>
      </c>
      <c r="C18" s="1" t="inlineStr">
        <is>
          <t>S05 - Projeto: Programa de Introspecção</t>
        </is>
      </c>
      <c r="D18" s="23" t="n">
        <v>6</v>
      </c>
      <c r="E18" s="23" t="n">
        <v>2</v>
      </c>
      <c r="G18" s="24" t="n"/>
      <c r="H18" s="24" t="inlineStr">
        <is>
          <t>y</t>
        </is>
      </c>
      <c r="I18" s="26">
        <f>DATE(YEAR(Setup!$C$4),MONTH(Setup!$C$4),DAY(Setup!$C$4)+((D18-1)*7)+(E18-WEEKDAY(DATE(YEAR(Setup!$C$4),MONTH(Setup!$C$4),DAY(Setup!$C$4)),1)))</f>
        <v/>
      </c>
      <c r="J18" s="26">
        <f>I18+3</f>
        <v/>
      </c>
      <c r="K18" s="26">
        <f>(I18 + (7 - WEEKDAY(I18,1))) + 1</f>
        <v/>
      </c>
      <c r="L18" s="23">
        <f>F19*G18</f>
        <v/>
      </c>
      <c r="M18" s="1" t="inlineStr">
        <is>
          <t>Tarefa pendente: Projeto W05: Programa de Atenção Plena</t>
        </is>
      </c>
      <c r="N18" s="1" t="inlineStr">
        <is>
          <t>Entre em contato com o aluno que não enviou o Projeto da W05: Mindfulness Program</t>
        </is>
      </c>
    </row>
    <row r="19">
      <c r="A19" s="1" t="inlineStr">
        <is>
          <t>CSE210</t>
        </is>
      </c>
      <c r="B19" s="1" t="inlineStr">
        <is>
          <t>Grader-Issued 0</t>
        </is>
      </c>
      <c r="C19" s="1" t="inlineStr">
        <is>
          <t>S05 - Projeto: Programa de Introspecção</t>
        </is>
      </c>
      <c r="D19" s="23" t="n">
        <v>6</v>
      </c>
      <c r="E19" s="23" t="n">
        <v>4</v>
      </c>
      <c r="F19" s="23" t="n">
        <v>100</v>
      </c>
      <c r="G19" s="24" t="n"/>
      <c r="H19" s="24" t="inlineStr">
        <is>
          <t>y</t>
        </is>
      </c>
      <c r="I19" s="26">
        <f>DATE(YEAR(Setup!$C$4),MONTH(Setup!$C$4),DAY(Setup!$C$4)+((D19-1)*7)+(E19-WEEKDAY(DATE(YEAR(Setup!$C$4),MONTH(Setup!$C$4),DAY(Setup!$C$4)),1)))</f>
        <v/>
      </c>
      <c r="J19" s="26">
        <f>I19+3</f>
        <v/>
      </c>
      <c r="K19" s="26">
        <f>(I19 + (7 - WEEKDAY(I19,1))) + 1</f>
        <v/>
      </c>
      <c r="L19" s="23">
        <f>F19*G19</f>
        <v/>
      </c>
      <c r="M19" s="1" t="inlineStr">
        <is>
          <t>O aluno recebeu uma nota 0 atribuída pelo avaliador no Projeto W05: Programa de Atenção Plena</t>
        </is>
      </c>
      <c r="N19" s="44" t="inlineStr">
        <is>
          <t>O avaliador atribuiu nota 0 para o Projeto da W05: Programa de Mindfulness. Acesse o Canvas e veja os comentários do avaliador. Trabalhe com o aluno para ajudá-lo a reenviar.</t>
        </is>
      </c>
    </row>
    <row r="20">
      <c r="A20" s="1" t="inlineStr">
        <is>
          <t>CSE210</t>
        </is>
      </c>
      <c r="B20" s="1" t="inlineStr">
        <is>
          <t>High Performance</t>
        </is>
      </c>
      <c r="C20" s="1" t="inlineStr">
        <is>
          <t>S05 - Projeto: Programa de Introspecção</t>
        </is>
      </c>
      <c r="D20" s="23" t="n">
        <v>6</v>
      </c>
      <c r="E20" s="23" t="n">
        <v>5</v>
      </c>
      <c r="F20" s="23" t="n">
        <v>100</v>
      </c>
      <c r="G20" s="24" t="n">
        <v>0.9</v>
      </c>
      <c r="H20" s="24" t="inlineStr">
        <is>
          <t>y</t>
        </is>
      </c>
      <c r="I20" s="26">
        <f>DATE(YEAR(Setup!$C$4),MONTH(Setup!$C$4),DAY(Setup!$C$4)+((D20-1)*7)+(E20-WEEKDAY(DATE(YEAR(Setup!$C$4),MONTH(Setup!$C$4),DAY(Setup!$C$4)),1)))</f>
        <v/>
      </c>
      <c r="J20" s="26">
        <f>I20+3</f>
        <v/>
      </c>
      <c r="K20" s="26">
        <f>(I20 + (7 - WEEKDAY(I20,1))) + 1</f>
        <v/>
      </c>
      <c r="L20" s="23">
        <f>F20*G20</f>
        <v/>
      </c>
      <c r="M20" s="1" t="inlineStr">
        <is>
          <t>Alto desempenho: Projeto W05: Mindfulness Program</t>
        </is>
      </c>
      <c r="N20" s="1" t="inlineStr">
        <is>
          <t>Forneça Feedback Positivo no Projeto da W05: Mindfulness Program</t>
        </is>
      </c>
    </row>
    <row r="21">
      <c r="A21" s="1" t="inlineStr">
        <is>
          <t>CSE210</t>
        </is>
      </c>
      <c r="B21" s="1" t="inlineStr">
        <is>
          <t>Low Performance</t>
        </is>
      </c>
      <c r="C21" s="1" t="inlineStr">
        <is>
          <t>S05 - Projeto: Programa de Introspecção</t>
        </is>
      </c>
      <c r="D21" s="23" t="n">
        <v>6</v>
      </c>
      <c r="E21" s="23" t="n">
        <v>5</v>
      </c>
      <c r="F21" s="23" t="n">
        <v>100</v>
      </c>
      <c r="G21" s="24" t="n">
        <v>0.7</v>
      </c>
      <c r="H21" s="24" t="inlineStr">
        <is>
          <t>y</t>
        </is>
      </c>
      <c r="I21" s="26">
        <f>DATE(YEAR(Setup!$C$4),MONTH(Setup!$C$4),DAY(Setup!$C$4)+((D21-1)*7)+(E21-WEEKDAY(DATE(YEAR(Setup!$C$4),MONTH(Setup!$C$4),DAY(Setup!$C$4)),1)))</f>
        <v/>
      </c>
      <c r="J21" s="26">
        <f>I21+3</f>
        <v/>
      </c>
      <c r="K21" s="26">
        <f>(I21 + (7 - WEEKDAY(I21,1))) + 1</f>
        <v/>
      </c>
      <c r="L21" s="23">
        <f>F21*G21</f>
        <v/>
      </c>
      <c r="M21" s="1" t="inlineStr">
        <is>
          <t>Baixo Desempenho: Projeto W05: Mindfulness Program</t>
        </is>
      </c>
      <c r="N21" s="1" t="inlineStr">
        <is>
          <t>Em Risco. O aluno obteve menos de 70% no Projeto da W05: Programa de Mindfulness. Entre em contato para ver como você pode ajudar.</t>
        </is>
      </c>
    </row>
    <row r="22">
      <c r="A22" s="1" t="inlineStr">
        <is>
          <t>CSE210</t>
        </is>
      </c>
      <c r="B22" s="1" t="inlineStr">
        <is>
          <t>Scheduled - Classwide</t>
        </is>
      </c>
      <c r="C22" s="1" t="inlineStr">
        <is>
          <t>Lembrete de Matrícula 2</t>
        </is>
      </c>
      <c r="D22" s="23" t="n">
        <v>7</v>
      </c>
      <c r="E22" s="23" t="n">
        <v>1</v>
      </c>
      <c r="G22" s="24" t="n"/>
      <c r="H22" s="24" t="inlineStr">
        <is>
          <t>y</t>
        </is>
      </c>
      <c r="I22" s="26">
        <f>DATE(YEAR(Setup!$C$4),MONTH(Setup!$C$4),DAY(Setup!$C$4)+((D22-1)*7)+(E22-WEEKDAY(DATE(YEAR(Setup!$C$4),MONTH(Setup!$C$4),DAY(Setup!$C$4)),1)))</f>
        <v/>
      </c>
      <c r="J22" s="26">
        <f>I22+3</f>
        <v/>
      </c>
      <c r="K22" s="26">
        <f>(I22 + (7 - WEEKDAY(I22,1))) + 1</f>
        <v/>
      </c>
      <c r="L22" s="23">
        <f>F22*G22</f>
        <v/>
      </c>
      <c r="M22" s="1" t="inlineStr">
        <is>
          <t>Lembrete de Matrícula 2</t>
        </is>
      </c>
      <c r="N22" s="43" t="inlineStr">
        <is>
          <t>Envie uma mensagem a todos os alunos, lembrando-os de que as inscrições para o próximo bloco ainda estão abertas, mas serão encerradas em breve. Incentive-os a acessar o sistema e se inscrever o quanto antes.</t>
        </is>
      </c>
    </row>
    <row r="23">
      <c r="A23" s="1" t="inlineStr">
        <is>
          <t>CSE210</t>
        </is>
      </c>
      <c r="B23" s="1" t="inlineStr">
        <is>
          <t>Scheduled - Classwide</t>
        </is>
      </c>
      <c r="C23" s="1" t="inlineStr">
        <is>
          <t>Lembrete de Fim de Bloco</t>
        </is>
      </c>
      <c r="D23" s="23" t="n">
        <v>7</v>
      </c>
      <c r="E23" s="23" t="n">
        <v>2</v>
      </c>
      <c r="G23" s="24" t="n"/>
      <c r="H23" s="24" t="inlineStr">
        <is>
          <t>y</t>
        </is>
      </c>
      <c r="I23" s="26">
        <f>DATE(YEAR(Setup!$C$4),MONTH(Setup!$C$4),DAY(Setup!$C$4)+((D23-1)*7)+(E23-WEEKDAY(DATE(YEAR(Setup!$C$4),MONTH(Setup!$C$4),DAY(Setup!$C$4)),1)))</f>
        <v/>
      </c>
      <c r="J23" s="26">
        <f>I23+3</f>
        <v/>
      </c>
      <c r="K23" s="26">
        <f>(I23 + (7 - WEEKDAY(I23,1))) + 1</f>
        <v/>
      </c>
      <c r="L23" s="23">
        <f>F23*G23</f>
        <v/>
      </c>
      <c r="M23" s="1" t="inlineStr">
        <is>
          <t>Lembrete de Fim de Bloco</t>
        </is>
      </c>
      <c r="N23" s="44" t="inlineStr">
        <is>
          <t>Lembre os alunos de que o curso será encerrado, para enviarem as tarefas dentro do prazo e preencherem a Avaliação de Fim de Curso</t>
        </is>
      </c>
    </row>
  </sheetData>
  <sheetProtection selectLockedCells="1" selectUnlockedCells="0" algorithmName="SHA-512" sheet="1" objects="0" insertRows="0" insertHyperlinks="1" autoFilter="0" scenarios="0" formatColumns="1" deleteColumns="1" insertColumns="1" pivotTables="1" deleteRows="0" formatCells="0" saltValue="MlPPvWl5H3jaanASSvPdVQ==" formatRows="0" sort="0" spinCount="100000" hashValue="cKSUaR4lUMuusseRqtNUaiziJNzd2VjVk5xYUQlnt+HOUm59cMeX4xetS5ifmcFD2L6rIbV0BX3hOUt4UCYD0Q=="/>
  <autoFilter ref="A1:N23"/>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7.xml><?xml version="1.0" encoding="utf-8"?>
<worksheet xmlns="http://schemas.openxmlformats.org/spreadsheetml/2006/main">
  <sheetPr codeName="Sheet5">
    <tabColor rgb="FF00B050"/>
    <outlinePr summaryBelow="1" summaryRight="1"/>
    <pageSetUpPr/>
  </sheetPr>
  <dimension ref="A1:N32"/>
  <sheetViews>
    <sheetView workbookViewId="0">
      <pane xSplit="3" topLeftCell="E1" activePane="topRight" state="frozen"/>
      <selection pane="topRight" activeCell="C31" sqref="C31"/>
      <selection activeCell="D12" sqref="D12"/>
    </sheetView>
  </sheetViews>
  <sheetFormatPr baseColWidth="8" defaultColWidth="8.85546875" defaultRowHeight="15"/>
  <cols>
    <col width="13" customWidth="1" style="1" min="1" max="1"/>
    <col width="24.28515625" customWidth="1" style="1" min="2" max="2"/>
    <col width="41.7109375" bestFit="1" customWidth="1" style="1" min="3" max="3"/>
    <col width="14.42578125" customWidth="1" style="23" min="4" max="4"/>
    <col width="14" customWidth="1" style="23" min="5" max="6"/>
    <col width="14.14062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CSE212</t>
        </is>
      </c>
      <c r="B2" s="1" t="inlineStr">
        <is>
          <t>New Student Added</t>
        </is>
      </c>
      <c r="C2" s="1" t="inlineStr">
        <is>
          <t>New Student Added</t>
        </is>
      </c>
      <c r="D2" s="23" t="n">
        <v>0</v>
      </c>
      <c r="E2" s="23" t="n">
        <v>2</v>
      </c>
      <c r="G2" s="24" t="n"/>
      <c r="H2" s="24" t="inlineStr">
        <is>
          <t>y</t>
        </is>
      </c>
      <c r="I2" s="26">
        <f>DATE(YEAR(Setup!$C$4),MONTH(Setup!$C$4),DAY(Setup!$C$4)+((D2-1)*7)+(E2-WEEKDAY(DATE(YEAR(Setup!$C$4),MONTH(Setup!$C$4),DAY(Setup!$C$4)),1)))</f>
        <v/>
      </c>
      <c r="J2" s="26">
        <f>I2+3</f>
        <v/>
      </c>
      <c r="K2" s="26">
        <f>(I2 + (7 - WEEKDAY(I2,1))) + 1</f>
        <v/>
      </c>
      <c r="L2" s="23">
        <f>F2*G2</f>
        <v/>
      </c>
      <c r="M2" s="1" t="inlineStr">
        <is>
          <t>Welcome Email</t>
        </is>
      </c>
      <c r="N2" s="37" t="inlineStr">
        <is>
          <t>Send a message to new students to welcome them to class and help them submit any assignments they missed.</t>
        </is>
      </c>
    </row>
    <row r="3">
      <c r="A3" s="1" t="inlineStr">
        <is>
          <t>CSE212</t>
        </is>
      </c>
      <c r="B3" s="1" t="inlineStr">
        <is>
          <t>Scheduled - Not Logged In</t>
        </is>
      </c>
      <c r="C3" s="1" t="inlineStr">
        <is>
          <t>Not Logged In</t>
        </is>
      </c>
      <c r="D3" s="23" t="n">
        <v>1</v>
      </c>
      <c r="E3" s="23" t="n">
        <v>4</v>
      </c>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CSE212</t>
        </is>
      </c>
      <c r="B4" s="1" t="inlineStr">
        <is>
          <t>Missing Assignment</t>
        </is>
      </c>
      <c r="C4" s="1" t="inlineStr">
        <is>
          <t>W01 Code: Dynamic Arrays</t>
        </is>
      </c>
      <c r="D4" s="23" t="n">
        <v>2</v>
      </c>
      <c r="E4" s="23" t="n">
        <v>2</v>
      </c>
      <c r="F4" s="23" t="n">
        <v>50</v>
      </c>
      <c r="G4" s="24" t="n"/>
      <c r="H4" s="24" t="inlineStr">
        <is>
          <t>y</t>
        </is>
      </c>
      <c r="I4" s="26">
        <f>DATE(YEAR(Setup!$C$4),MONTH(Setup!$C$4),DAY(Setup!$C$4)+((D4-1)*7)+(E4-WEEKDAY(DATE(YEAR(Setup!$C$4),MONTH(Setup!$C$4),DAY(Setup!$C$4)),1)))</f>
        <v/>
      </c>
      <c r="J4" s="26">
        <f>I4+3</f>
        <v/>
      </c>
      <c r="K4" s="26">
        <f>(I4 + (7 - WEEKDAY(I4,1))) + 1</f>
        <v/>
      </c>
      <c r="L4" s="23">
        <f>F4*G4</f>
        <v/>
      </c>
      <c r="M4" s="1" t="inlineStr">
        <is>
          <t>Missing Assignment: W01 Code: Dynamic Arrays</t>
        </is>
      </c>
      <c r="N4" s="1" t="inlineStr">
        <is>
          <t>Check in with student missing W01 Code: Dynamic Arrays</t>
        </is>
      </c>
    </row>
    <row r="5">
      <c r="A5" s="1" t="inlineStr">
        <is>
          <t>CSE212</t>
        </is>
      </c>
      <c r="B5" s="1" t="inlineStr">
        <is>
          <t>Quiz Question</t>
        </is>
      </c>
      <c r="C5" s="1" t="inlineStr">
        <is>
          <t>W01 60-second Status Update: NeedHelp Answer: Yes</t>
        </is>
      </c>
      <c r="D5" s="23" t="n">
        <v>2</v>
      </c>
      <c r="E5" s="23" t="n">
        <v>2</v>
      </c>
      <c r="G5" s="24" t="n"/>
      <c r="H5" s="24" t="inlineStr">
        <is>
          <t>y</t>
        </is>
      </c>
      <c r="I5" s="26">
        <f>DATE(YEAR(Setup!$C$4),MONTH(Setup!$C$4),DAY(Setup!$C$4)+((D5-1)*7)+(E5-WEEKDAY(DATE(YEAR(Setup!$C$4),MONTH(Setup!$C$4),DAY(Setup!$C$4)),1)))</f>
        <v/>
      </c>
      <c r="J5" s="26">
        <f>I5+3</f>
        <v/>
      </c>
      <c r="K5" s="26">
        <f>(I5 + (7 - WEEKDAY(I5,1))) + 1</f>
        <v/>
      </c>
      <c r="L5" s="23">
        <f>F5*G5</f>
        <v/>
      </c>
      <c r="M5" s="1" t="inlineStr">
        <is>
          <t>Response to 60-second W01 Status Update. Student feels overwhelmed.</t>
        </is>
      </c>
      <c r="N5" s="1" t="inlineStr">
        <is>
          <t>Student responded feeling overwhelmed in W01 60-second Status Update. Reach out to student to see how you can help.</t>
        </is>
      </c>
    </row>
    <row r="6">
      <c r="A6" s="1" t="inlineStr">
        <is>
          <t>CSE212</t>
        </is>
      </c>
      <c r="B6" s="1" t="inlineStr">
        <is>
          <t>Grader-Issued 0</t>
        </is>
      </c>
      <c r="C6" s="45" t="inlineStr">
        <is>
          <t>W01 Code: Dynamic Arrays</t>
        </is>
      </c>
      <c r="D6" s="23" t="n">
        <v>2</v>
      </c>
      <c r="E6" s="23" t="n">
        <v>4</v>
      </c>
      <c r="F6" s="23" t="n">
        <v>50</v>
      </c>
      <c r="G6" s="24" t="n"/>
      <c r="H6" s="24" t="inlineStr">
        <is>
          <t>y</t>
        </is>
      </c>
      <c r="I6" s="26">
        <f>DATE(YEAR(Setup!$C$4),MONTH(Setup!$C$4),DAY(Setup!$C$4)+((D6-1)*7)+(E6-WEEKDAY(DATE(YEAR(Setup!$C$4),MONTH(Setup!$C$4),DAY(Setup!$C$4)),1)))</f>
        <v/>
      </c>
      <c r="J6" s="26">
        <f>I6+3</f>
        <v/>
      </c>
      <c r="K6" s="26">
        <f>(I6 + (7 - WEEKDAY(I6,1))) + 1</f>
        <v/>
      </c>
      <c r="L6" s="23">
        <f>F6*G6</f>
        <v/>
      </c>
      <c r="M6" s="1" t="inlineStr">
        <is>
          <t>The student was given a Grader issued 0 on W01 Code: Dynamic Arrays</t>
        </is>
      </c>
      <c r="N6" s="44" t="inlineStr">
        <is>
          <t>Grader issued 0 for: W01 Code: Dynamic Arrays. Log into Canvas and see the grader comments. Work with the student to help resubmit.</t>
        </is>
      </c>
    </row>
    <row r="7">
      <c r="A7" s="1" t="inlineStr">
        <is>
          <t>CSE212</t>
        </is>
      </c>
      <c r="B7" s="1" t="inlineStr">
        <is>
          <t>High Performance</t>
        </is>
      </c>
      <c r="C7" s="1" t="inlineStr">
        <is>
          <t>W01 Code: Dynamic Arrays</t>
        </is>
      </c>
      <c r="D7" s="23" t="n">
        <v>2</v>
      </c>
      <c r="E7" s="23" t="n">
        <v>5</v>
      </c>
      <c r="F7" s="23" t="n">
        <v>50</v>
      </c>
      <c r="G7" s="24" t="n">
        <v>0.9</v>
      </c>
      <c r="H7" s="24" t="inlineStr">
        <is>
          <t>y</t>
        </is>
      </c>
      <c r="I7" s="26">
        <f>DATE(YEAR(Setup!$C$4),MONTH(Setup!$C$4),DAY(Setup!$C$4)+((D7-1)*7)+(E7-WEEKDAY(DATE(YEAR(Setup!$C$4),MONTH(Setup!$C$4),DAY(Setup!$C$4)),1)))</f>
        <v/>
      </c>
      <c r="J7" s="26">
        <f>I7+3</f>
        <v/>
      </c>
      <c r="K7" s="26">
        <f>(I7 + (7 - WEEKDAY(I7,1))) + 1</f>
        <v/>
      </c>
      <c r="L7" s="23">
        <f>F7*G7</f>
        <v/>
      </c>
      <c r="M7" s="1" t="inlineStr">
        <is>
          <t>High Performance: W01 Code: Dynamic Arrays</t>
        </is>
      </c>
      <c r="N7" s="1" t="inlineStr">
        <is>
          <t>Provide Positive Feedback on W01 Code: Dynamic Arrays</t>
        </is>
      </c>
    </row>
    <row r="8">
      <c r="A8" s="1" t="inlineStr">
        <is>
          <t>CSE212</t>
        </is>
      </c>
      <c r="B8" s="1" t="inlineStr">
        <is>
          <t>Low Performance</t>
        </is>
      </c>
      <c r="C8" s="1" t="inlineStr">
        <is>
          <t>W01 Code: Dynamic Arrays</t>
        </is>
      </c>
      <c r="D8" s="23" t="n">
        <v>2</v>
      </c>
      <c r="E8" s="23" t="n">
        <v>5</v>
      </c>
      <c r="F8" s="23" t="n">
        <v>50</v>
      </c>
      <c r="G8" s="24" t="n">
        <v>0.7</v>
      </c>
      <c r="H8" s="24" t="inlineStr">
        <is>
          <t>y</t>
        </is>
      </c>
      <c r="I8" s="26">
        <f>DATE(YEAR(Setup!$C$4),MONTH(Setup!$C$4),DAY(Setup!$C$4)+((D8-1)*7)+(E8-WEEKDAY(DATE(YEAR(Setup!$C$4),MONTH(Setup!$C$4),DAY(Setup!$C$4)),1)))</f>
        <v/>
      </c>
      <c r="J8" s="26">
        <f>I8+3</f>
        <v/>
      </c>
      <c r="K8" s="26">
        <f>(I8 + (7 - WEEKDAY(I8,1))) + 1</f>
        <v/>
      </c>
      <c r="L8" s="23">
        <f>F8*G8</f>
        <v/>
      </c>
      <c r="M8" s="1" t="inlineStr">
        <is>
          <t>Low Performance: W01 Code: Dynamic Arrays</t>
        </is>
      </c>
      <c r="N8" s="1" t="inlineStr">
        <is>
          <t xml:space="preserve">At Risk. Student scored below 70% on W01 Code: Dynamic Arrays. Check in to see how you can help. </t>
        </is>
      </c>
    </row>
    <row r="9" ht="15.95" customHeight="1">
      <c r="A9" s="1" t="inlineStr">
        <is>
          <t>CSE212</t>
        </is>
      </c>
      <c r="B9" s="1" t="inlineStr">
        <is>
          <t>Missing Assignment</t>
        </is>
      </c>
      <c r="C9" s="1" t="inlineStr">
        <is>
          <t>W02 Code: Queues</t>
        </is>
      </c>
      <c r="D9" s="23" t="n">
        <v>3</v>
      </c>
      <c r="E9" s="23" t="n">
        <v>2</v>
      </c>
      <c r="F9" s="23" t="n">
        <v>50</v>
      </c>
      <c r="G9" s="24" t="n"/>
      <c r="H9" s="24" t="inlineStr">
        <is>
          <t>y</t>
        </is>
      </c>
      <c r="I9" s="26">
        <f>DATE(YEAR(Setup!$C$4),MONTH(Setup!$C$4),DAY(Setup!$C$4)+((D9-1)*7)+(E9-WEEKDAY(DATE(YEAR(Setup!$C$4),MONTH(Setup!$C$4),DAY(Setup!$C$4)),1)))</f>
        <v/>
      </c>
      <c r="J9" s="26">
        <f>I9+3</f>
        <v/>
      </c>
      <c r="K9" s="26">
        <f>(I9 + (7 - WEEKDAY(I9,1))) + 1</f>
        <v/>
      </c>
      <c r="L9" s="23">
        <f>F9*G9</f>
        <v/>
      </c>
      <c r="M9" s="1" t="inlineStr">
        <is>
          <t>Missing Assignments: W02 Code: Queues</t>
        </is>
      </c>
      <c r="N9" s="3" t="inlineStr">
        <is>
          <t>Check in with student missing W02 Code: Queues</t>
        </is>
      </c>
    </row>
    <row r="10">
      <c r="A10" s="1" t="inlineStr">
        <is>
          <t>CSE212</t>
        </is>
      </c>
      <c r="B10" s="1" t="inlineStr">
        <is>
          <t>Quiz Question</t>
        </is>
      </c>
      <c r="C10" s="1" t="inlineStr">
        <is>
          <t>W02 60-second Status Update: NeedHelp Answer: Yes</t>
        </is>
      </c>
      <c r="D10" s="23" t="n">
        <v>3</v>
      </c>
      <c r="E10" s="23" t="n">
        <v>2</v>
      </c>
      <c r="G10" s="24" t="n"/>
      <c r="H10" s="24" t="inlineStr">
        <is>
          <t>y</t>
        </is>
      </c>
      <c r="I10" s="26">
        <f>DATE(YEAR(Setup!$C$4),MONTH(Setup!$C$4),DAY(Setup!$C$4)+((D10-1)*7)+(E10-WEEKDAY(DATE(YEAR(Setup!$C$4),MONTH(Setup!$C$4),DAY(Setup!$C$4)),1)))</f>
        <v/>
      </c>
      <c r="J10" s="26">
        <f>I10+3</f>
        <v/>
      </c>
      <c r="K10" s="26">
        <f>(I10 + (7 - WEEKDAY(I10,1))) + 1</f>
        <v/>
      </c>
      <c r="L10" s="23">
        <f>F10*G10</f>
        <v/>
      </c>
      <c r="M10" s="1" t="inlineStr">
        <is>
          <t>Response to 60-second W02 Status Update. Student feels overwhelmed.</t>
        </is>
      </c>
      <c r="N10" s="1" t="inlineStr">
        <is>
          <t>Student responded feeling overwhelmed in W02 60-second Status Update. Reach out to student to see how you can help.</t>
        </is>
      </c>
    </row>
    <row r="11" ht="15.95" customHeight="1">
      <c r="A11" s="1" t="inlineStr">
        <is>
          <t>CSE212</t>
        </is>
      </c>
      <c r="B11" s="1" t="inlineStr">
        <is>
          <t>Grader-Issued 0</t>
        </is>
      </c>
      <c r="C11" s="1" t="inlineStr">
        <is>
          <t>W02 Code: Queues</t>
        </is>
      </c>
      <c r="D11" s="23" t="n">
        <v>3</v>
      </c>
      <c r="E11" s="23" t="n">
        <v>4</v>
      </c>
      <c r="F11" s="23" t="n">
        <v>50</v>
      </c>
      <c r="G11" s="24" t="n"/>
      <c r="H11" s="24" t="inlineStr">
        <is>
          <t>y</t>
        </is>
      </c>
      <c r="I11" s="26">
        <f>DATE(YEAR(Setup!$C$4),MONTH(Setup!$C$4),DAY(Setup!$C$4)+((D11-1)*7)+(E11-WEEKDAY(DATE(YEAR(Setup!$C$4),MONTH(Setup!$C$4),DAY(Setup!$C$4)),1)))</f>
        <v/>
      </c>
      <c r="J11" s="26">
        <f>I11+3</f>
        <v/>
      </c>
      <c r="K11" s="26">
        <f>(I11 + (7 - WEEKDAY(I11,1))) + 1</f>
        <v/>
      </c>
      <c r="L11" s="23">
        <f>F11*G11</f>
        <v/>
      </c>
      <c r="M11" s="1" t="inlineStr">
        <is>
          <t>The student was given a Grader issued 0 on W02 Code: Queues</t>
        </is>
      </c>
      <c r="N11" s="68" t="inlineStr">
        <is>
          <t>Grader issued 0 for W02 Code: Queues. Log into Canvas and see the grader comments. Work with the student to help resubmit.</t>
        </is>
      </c>
    </row>
    <row r="12" ht="15.95" customHeight="1">
      <c r="A12" s="1" t="inlineStr">
        <is>
          <t>CSE212</t>
        </is>
      </c>
      <c r="B12" s="1" t="inlineStr">
        <is>
          <t>High Performance</t>
        </is>
      </c>
      <c r="C12" s="1" t="inlineStr">
        <is>
          <t>W02 Code: Queues</t>
        </is>
      </c>
      <c r="D12" s="23" t="n">
        <v>3</v>
      </c>
      <c r="E12" s="23" t="n">
        <v>5</v>
      </c>
      <c r="F12" s="23" t="n">
        <v>50</v>
      </c>
      <c r="G12" s="24" t="n">
        <v>0.9</v>
      </c>
      <c r="H12" s="24" t="inlineStr">
        <is>
          <t>y</t>
        </is>
      </c>
      <c r="I12" s="26">
        <f>DATE(YEAR(Setup!$C$4),MONTH(Setup!$C$4),DAY(Setup!$C$4)+((D12-1)*7)+(E12-WEEKDAY(DATE(YEAR(Setup!$C$4),MONTH(Setup!$C$4),DAY(Setup!$C$4)),1)))</f>
        <v/>
      </c>
      <c r="J12" s="26">
        <f>I12+3</f>
        <v/>
      </c>
      <c r="K12" s="26">
        <f>(I12 + (7 - WEEKDAY(I12,1))) + 1</f>
        <v/>
      </c>
      <c r="L12" s="23">
        <f>F12*G12</f>
        <v/>
      </c>
      <c r="M12" s="1" t="inlineStr">
        <is>
          <t>High Performance: W02 Code: Queues</t>
        </is>
      </c>
      <c r="N12" s="3" t="inlineStr">
        <is>
          <t>Provide Positive Feedback on W02 Code: Queues</t>
        </is>
      </c>
    </row>
    <row r="13" ht="15.95" customHeight="1">
      <c r="A13" s="1" t="inlineStr">
        <is>
          <t>CSE212</t>
        </is>
      </c>
      <c r="B13" s="1" t="inlineStr">
        <is>
          <t>Low Performance</t>
        </is>
      </c>
      <c r="C13" s="1" t="inlineStr">
        <is>
          <t>W02 Code: Queues</t>
        </is>
      </c>
      <c r="D13" s="23" t="n">
        <v>3</v>
      </c>
      <c r="E13" s="23" t="n">
        <v>5</v>
      </c>
      <c r="F13" s="23" t="n">
        <v>50</v>
      </c>
      <c r="G13" s="24" t="n">
        <v>0.7</v>
      </c>
      <c r="H13" s="24" t="inlineStr">
        <is>
          <t>y</t>
        </is>
      </c>
      <c r="I13" s="26">
        <f>DATE(YEAR(Setup!$C$4),MONTH(Setup!$C$4),DAY(Setup!$C$4)+((D13-1)*7)+(E13-WEEKDAY(DATE(YEAR(Setup!$C$4),MONTH(Setup!$C$4),DAY(Setup!$C$4)),1)))</f>
        <v/>
      </c>
      <c r="J13" s="26">
        <f>I13+3</f>
        <v/>
      </c>
      <c r="K13" s="26">
        <f>(I13 + (7 - WEEKDAY(I13,1))) + 1</f>
        <v/>
      </c>
      <c r="L13" s="23">
        <f>F13*G13</f>
        <v/>
      </c>
      <c r="M13" s="1" t="inlineStr">
        <is>
          <t>Low Performance: W02 Code: Queues</t>
        </is>
      </c>
      <c r="N13" s="3" t="inlineStr">
        <is>
          <t xml:space="preserve">At Risk. Student scored below 70% on W02 Code: Queues. Check in to see how you can help. </t>
        </is>
      </c>
    </row>
    <row r="14">
      <c r="A14" s="1" t="inlineStr">
        <is>
          <t>CSE212</t>
        </is>
      </c>
      <c r="B14" s="1" t="inlineStr">
        <is>
          <t>Missing Assignment</t>
        </is>
      </c>
      <c r="C14" s="1" t="inlineStr">
        <is>
          <t>W03 Code: Set and Maps</t>
        </is>
      </c>
      <c r="D14" s="23" t="n">
        <v>4</v>
      </c>
      <c r="E14" s="23" t="n">
        <v>2</v>
      </c>
      <c r="F14" s="23" t="n">
        <v>100</v>
      </c>
      <c r="G14" s="24" t="n"/>
      <c r="H14" s="24" t="inlineStr">
        <is>
          <t>y</t>
        </is>
      </c>
      <c r="I14" s="26">
        <f>DATE(YEAR(Setup!$C$4),MONTH(Setup!$C$4),DAY(Setup!$C$4)+((D14-1)*7)+(E14-WEEKDAY(DATE(YEAR(Setup!$C$4),MONTH(Setup!$C$4),DAY(Setup!$C$4)),1)))</f>
        <v/>
      </c>
      <c r="J14" s="26">
        <f>I14+3</f>
        <v/>
      </c>
      <c r="K14" s="26">
        <f>(I14 + (7 - WEEKDAY(I14,1))) + 1</f>
        <v/>
      </c>
      <c r="L14" s="23">
        <f>F14*G14</f>
        <v/>
      </c>
      <c r="M14" s="1" t="inlineStr">
        <is>
          <t>Missing Assignment: W03 Code: Set and Maps</t>
        </is>
      </c>
      <c r="N14" s="1" t="inlineStr">
        <is>
          <t>Check in with student missing W03 Code: Set and Maps</t>
        </is>
      </c>
    </row>
    <row r="15">
      <c r="A15" s="1" t="inlineStr">
        <is>
          <t>CSE212</t>
        </is>
      </c>
      <c r="B15" s="1" t="inlineStr">
        <is>
          <t>Quiz Question</t>
        </is>
      </c>
      <c r="C15" s="1" t="inlineStr">
        <is>
          <t>W03 60-second Status Update: NeedHelp Answer: Yes</t>
        </is>
      </c>
      <c r="D15" s="23" t="n">
        <v>4</v>
      </c>
      <c r="E15" s="23" t="n">
        <v>2</v>
      </c>
      <c r="G15" s="24" t="n"/>
      <c r="H15" s="24" t="inlineStr">
        <is>
          <t>y</t>
        </is>
      </c>
      <c r="I15" s="26">
        <f>DATE(YEAR(Setup!$C$4),MONTH(Setup!$C$4),DAY(Setup!$C$4)+((D15-1)*7)+(E15-WEEKDAY(DATE(YEAR(Setup!$C$4),MONTH(Setup!$C$4),DAY(Setup!$C$4)),1)))</f>
        <v/>
      </c>
      <c r="J15" s="26">
        <f>I15+3</f>
        <v/>
      </c>
      <c r="K15" s="26">
        <f>(I15 + (7 - WEEKDAY(I15,1))) + 1</f>
        <v/>
      </c>
      <c r="L15" s="23">
        <f>F15*G15</f>
        <v/>
      </c>
      <c r="M15" s="1" t="inlineStr">
        <is>
          <t>Response to 60-second W03 Status Update. Student feels overwhelmed.</t>
        </is>
      </c>
      <c r="N15" s="1" t="inlineStr">
        <is>
          <t>Student responded feeling overwhelmed in W03 60-second Status Update. Reach out to student to see how you can help.</t>
        </is>
      </c>
    </row>
    <row r="16">
      <c r="A16" s="1" t="inlineStr">
        <is>
          <t>CSE212</t>
        </is>
      </c>
      <c r="B16" s="1" t="inlineStr">
        <is>
          <t>Grader-Issued 0</t>
        </is>
      </c>
      <c r="C16" s="1" t="inlineStr">
        <is>
          <t>W03 Code: Set and Maps</t>
        </is>
      </c>
      <c r="D16" s="23" t="n">
        <v>4</v>
      </c>
      <c r="E16" s="23" t="n">
        <v>4</v>
      </c>
      <c r="F16" s="23" t="n">
        <v>100</v>
      </c>
      <c r="G16" s="24" t="n"/>
      <c r="H16" s="24" t="inlineStr">
        <is>
          <t>y</t>
        </is>
      </c>
      <c r="I16" s="26">
        <f>DATE(YEAR(Setup!$C$4),MONTH(Setup!$C$4),DAY(Setup!$C$4)+((D16-1)*7)+(E16-WEEKDAY(DATE(YEAR(Setup!$C$4),MONTH(Setup!$C$4),DAY(Setup!$C$4)),1)))</f>
        <v/>
      </c>
      <c r="J16" s="26">
        <f>I16+3</f>
        <v/>
      </c>
      <c r="K16" s="26">
        <f>(I16 + (7 - WEEKDAY(I16,1))) + 1</f>
        <v/>
      </c>
      <c r="L16" s="23">
        <f>F16*G16</f>
        <v/>
      </c>
      <c r="M16" s="1" t="inlineStr">
        <is>
          <t>The student was given a Grader issued 0 on W03 Code: Set and Maps</t>
        </is>
      </c>
      <c r="N16" s="44" t="inlineStr">
        <is>
          <t>Grader issued 0 for W03 Code: Set and Maps. Log into Canvas and see the grader comments. Work with the student to help resubmit.</t>
        </is>
      </c>
    </row>
    <row r="17">
      <c r="A17" s="1" t="inlineStr">
        <is>
          <t>CSE212</t>
        </is>
      </c>
      <c r="B17" s="1" t="inlineStr">
        <is>
          <t>Scheduled - Low Current Grade</t>
        </is>
      </c>
      <c r="C17" s="1" t="inlineStr">
        <is>
          <t>Withdraw Deadline Reminder</t>
        </is>
      </c>
      <c r="D17" s="23" t="n">
        <v>4</v>
      </c>
      <c r="E17" s="23" t="n">
        <v>4</v>
      </c>
      <c r="G17" s="24" t="n">
        <v>0.5</v>
      </c>
      <c r="H17" s="24" t="inlineStr">
        <is>
          <t>y</t>
        </is>
      </c>
      <c r="I17" s="26">
        <f>DATE(YEAR(Setup!$C$4),MONTH(Setup!$C$4),DAY(Setup!$C$4)+((D17-1)*7)+(E17-WEEKDAY(DATE(YEAR(Setup!$C$4),MONTH(Setup!$C$4),DAY(Setup!$C$4)),1)))</f>
        <v/>
      </c>
      <c r="J17" s="26">
        <f>I17+3</f>
        <v/>
      </c>
      <c r="K17" s="26">
        <f>(I17 + (7 - WEEKDAY(I17,1))) + 1</f>
        <v/>
      </c>
      <c r="L17" s="23">
        <f>F17*G17</f>
        <v/>
      </c>
      <c r="M17" s="1" t="inlineStr">
        <is>
          <t xml:space="preserve">Failing student. Withdraw Reminder </t>
        </is>
      </c>
      <c r="N17" s="1" t="inlineStr">
        <is>
          <t>Email students who are currently failing with little chance to catch up, reminding them of the withdraw deadline.</t>
        </is>
      </c>
    </row>
    <row r="18">
      <c r="A18" s="1" t="inlineStr">
        <is>
          <t>CSE212</t>
        </is>
      </c>
      <c r="B18" s="1" t="inlineStr">
        <is>
          <t>High Performance</t>
        </is>
      </c>
      <c r="C18" s="1" t="inlineStr">
        <is>
          <t>W03 Code: Set and Maps</t>
        </is>
      </c>
      <c r="D18" s="23" t="n">
        <v>4</v>
      </c>
      <c r="E18" s="23" t="n">
        <v>5</v>
      </c>
      <c r="F18" s="23" t="n">
        <v>100</v>
      </c>
      <c r="G18" s="24" t="n">
        <v>0.9</v>
      </c>
      <c r="H18" s="24" t="inlineStr">
        <is>
          <t>y</t>
        </is>
      </c>
      <c r="I18" s="26">
        <f>DATE(YEAR(Setup!$C$4),MONTH(Setup!$C$4),DAY(Setup!$C$4)+((D18-1)*7)+(E18-WEEKDAY(DATE(YEAR(Setup!$C$4),MONTH(Setup!$C$4),DAY(Setup!$C$4)),1)))</f>
        <v/>
      </c>
      <c r="J18" s="26">
        <f>I18+3</f>
        <v/>
      </c>
      <c r="K18" s="26">
        <f>(I18 + (7 - WEEKDAY(I18,1))) + 1</f>
        <v/>
      </c>
      <c r="L18" s="23">
        <f>F18*G18</f>
        <v/>
      </c>
      <c r="M18" s="1" t="inlineStr">
        <is>
          <t>High Performance: W03 Code: Set and Maps</t>
        </is>
      </c>
      <c r="N18" s="1" t="inlineStr">
        <is>
          <t>Provide Positive Feedback on W03 Code: Set and Maps</t>
        </is>
      </c>
    </row>
    <row r="19">
      <c r="A19" s="1" t="inlineStr">
        <is>
          <t>CSE212</t>
        </is>
      </c>
      <c r="B19" s="1" t="inlineStr">
        <is>
          <t>Low Performance</t>
        </is>
      </c>
      <c r="C19" s="1" t="inlineStr">
        <is>
          <t>W03 Code: Set and Maps</t>
        </is>
      </c>
      <c r="D19" s="23" t="n">
        <v>4</v>
      </c>
      <c r="E19" s="23" t="n">
        <v>5</v>
      </c>
      <c r="F19" s="23" t="n">
        <v>100</v>
      </c>
      <c r="G19" s="24" t="n">
        <v>0.7</v>
      </c>
      <c r="H19" s="24" t="inlineStr">
        <is>
          <t>y</t>
        </is>
      </c>
      <c r="I19" s="26">
        <f>DATE(YEAR(Setup!$C$4),MONTH(Setup!$C$4),DAY(Setup!$C$4)+((D19-1)*7)+(E19-WEEKDAY(DATE(YEAR(Setup!$C$4),MONTH(Setup!$C$4),DAY(Setup!$C$4)),1)))</f>
        <v/>
      </c>
      <c r="J19" s="26">
        <f>I19+3</f>
        <v/>
      </c>
      <c r="K19" s="26">
        <f>(I19 + (7 - WEEKDAY(I19,1))) + 1</f>
        <v/>
      </c>
      <c r="L19" s="23">
        <f>F19*G19</f>
        <v/>
      </c>
      <c r="M19" s="1" t="inlineStr">
        <is>
          <t>Low Performance: W03 Code: Set and Maps</t>
        </is>
      </c>
      <c r="N19" s="1" t="inlineStr">
        <is>
          <t xml:space="preserve">At Risk. Student scored below 70% on W03 Code: Set and Maps. Check in to see how you can help. </t>
        </is>
      </c>
    </row>
    <row r="20" ht="15.95" customHeight="1">
      <c r="A20" s="1" t="inlineStr">
        <is>
          <t>CSE212</t>
        </is>
      </c>
      <c r="B20" s="1" t="inlineStr">
        <is>
          <t>Missing Assignment</t>
        </is>
      </c>
      <c r="C20" s="1" t="inlineStr">
        <is>
          <t>W04 Code: Linked Lists</t>
        </is>
      </c>
      <c r="D20" s="23" t="n">
        <v>5</v>
      </c>
      <c r="E20" s="23" t="n">
        <v>2</v>
      </c>
      <c r="F20" s="23" t="n">
        <v>100</v>
      </c>
      <c r="G20" s="24" t="n"/>
      <c r="H20" s="24" t="inlineStr">
        <is>
          <t>y</t>
        </is>
      </c>
      <c r="I20" s="26">
        <f>DATE(YEAR(Setup!$C$4),MONTH(Setup!$C$4),DAY(Setup!$C$4)+((D20-1)*7)+(E20-WEEKDAY(DATE(YEAR(Setup!$C$4),MONTH(Setup!$C$4),DAY(Setup!$C$4)),1)))</f>
        <v/>
      </c>
      <c r="J20" s="26">
        <f>I20+3</f>
        <v/>
      </c>
      <c r="K20" s="26">
        <f>(I20 + (7 - WEEKDAY(I20,1))) + 1</f>
        <v/>
      </c>
      <c r="L20" s="23">
        <f>F20*G20</f>
        <v/>
      </c>
      <c r="M20" s="1" t="inlineStr">
        <is>
          <t>Missing Assignment: W04 Code: Linked Lists</t>
        </is>
      </c>
      <c r="N20" s="3" t="inlineStr">
        <is>
          <t>Check in with student missing W04 Code: Linked Lists</t>
        </is>
      </c>
    </row>
    <row r="21">
      <c r="A21" s="1" t="inlineStr">
        <is>
          <t>CSE212</t>
        </is>
      </c>
      <c r="B21" s="1" t="inlineStr">
        <is>
          <t>Quiz Question</t>
        </is>
      </c>
      <c r="C21" s="1" t="inlineStr">
        <is>
          <t>W04 60-second Status Update: NeedHelp Answer: Yes</t>
        </is>
      </c>
      <c r="D21" s="23" t="n">
        <v>5</v>
      </c>
      <c r="E21" s="23" t="n">
        <v>2</v>
      </c>
      <c r="G21" s="24" t="n"/>
      <c r="H21" s="24" t="inlineStr">
        <is>
          <t>y</t>
        </is>
      </c>
      <c r="I21" s="26">
        <f>DATE(YEAR(Setup!$C$4),MONTH(Setup!$C$4),DAY(Setup!$C$4)+((D21-1)*7)+(E21-WEEKDAY(DATE(YEAR(Setup!$C$4),MONTH(Setup!$C$4),DAY(Setup!$C$4)),1)))</f>
        <v/>
      </c>
      <c r="J21" s="26">
        <f>I21+3</f>
        <v/>
      </c>
      <c r="K21" s="26">
        <f>(I21 + (7 - WEEKDAY(I21,1))) + 1</f>
        <v/>
      </c>
      <c r="L21" s="23">
        <f>F21*G21</f>
        <v/>
      </c>
      <c r="M21" s="1" t="inlineStr">
        <is>
          <t>Response to 60-second W04 Status Update. Student feels overwhelmed.</t>
        </is>
      </c>
      <c r="N21" s="1" t="inlineStr">
        <is>
          <t>Student responded feeling overwhelmed in W04 60-second Status Update. Reach out to student to see how you can help.</t>
        </is>
      </c>
    </row>
    <row r="22" ht="15.95" customHeight="1">
      <c r="A22" s="1" t="inlineStr">
        <is>
          <t>CSE212</t>
        </is>
      </c>
      <c r="B22" s="1" t="inlineStr">
        <is>
          <t>Grader-Issued 0</t>
        </is>
      </c>
      <c r="C22" s="1" t="inlineStr">
        <is>
          <t>W04 Code: Linked Lists</t>
        </is>
      </c>
      <c r="D22" s="23" t="n">
        <v>5</v>
      </c>
      <c r="E22" s="23" t="n">
        <v>4</v>
      </c>
      <c r="F22" s="23" t="n">
        <v>100</v>
      </c>
      <c r="G22" s="24" t="n"/>
      <c r="H22" s="24" t="inlineStr">
        <is>
          <t>y</t>
        </is>
      </c>
      <c r="I22" s="26">
        <f>DATE(YEAR(Setup!$C$4),MONTH(Setup!$C$4),DAY(Setup!$C$4)+((D22-1)*7)+(E22-WEEKDAY(DATE(YEAR(Setup!$C$4),MONTH(Setup!$C$4),DAY(Setup!$C$4)),1)))</f>
        <v/>
      </c>
      <c r="J22" s="26">
        <f>I22+3</f>
        <v/>
      </c>
      <c r="K22" s="26">
        <f>(I22 + (7 - WEEKDAY(I22,1))) + 1</f>
        <v/>
      </c>
      <c r="L22" s="23">
        <f>F22*G22</f>
        <v/>
      </c>
      <c r="M22" s="1" t="inlineStr">
        <is>
          <t>The student was given a Grader issued 0 on W04 Code: Linked Lists</t>
        </is>
      </c>
      <c r="N22" s="68" t="inlineStr">
        <is>
          <t>Grader issued 0 for W04 Code: Linked Lists. Log into Canvas and see the grader comments. Work with the student to help resubmit.</t>
        </is>
      </c>
    </row>
    <row r="23">
      <c r="A23" s="1" t="inlineStr">
        <is>
          <t>CSE212</t>
        </is>
      </c>
      <c r="B23" s="1" t="inlineStr">
        <is>
          <t>Scheduled - Classwide</t>
        </is>
      </c>
      <c r="C23" s="1" t="inlineStr">
        <is>
          <t>Registration Reminder 1</t>
        </is>
      </c>
      <c r="D23" s="23" t="n">
        <v>5</v>
      </c>
      <c r="E23" s="23" t="n">
        <v>4</v>
      </c>
      <c r="G23" s="24" t="n"/>
      <c r="H23" s="24" t="inlineStr">
        <is>
          <t>y</t>
        </is>
      </c>
      <c r="I23" s="26">
        <f>DATE(YEAR(Setup!$C$4),MONTH(Setup!$C$4),DAY(Setup!$C$4)+((D23-1)*7)+(E23-WEEKDAY(DATE(YEAR(Setup!$C$4),MONTH(Setup!$C$4),DAY(Setup!$C$4)),1)))</f>
        <v/>
      </c>
      <c r="J23" s="26">
        <f>I23+3</f>
        <v/>
      </c>
      <c r="K23" s="26">
        <f>(I23 + (7 - WEEKDAY(I23,1))) + 1</f>
        <v/>
      </c>
      <c r="L23" s="23">
        <f>F23*G23</f>
        <v/>
      </c>
      <c r="M23" s="1" t="inlineStr">
        <is>
          <t>Registration Reminder 1</t>
        </is>
      </c>
      <c r="N23" s="43" t="inlineStr">
        <is>
          <t>Send a message to all students, reminding them that registration for the next block is now open and encouraging them to go and take action.</t>
        </is>
      </c>
    </row>
    <row r="24" ht="15.95" customHeight="1">
      <c r="A24" s="1" t="inlineStr">
        <is>
          <t>CSE212</t>
        </is>
      </c>
      <c r="B24" s="1" t="inlineStr">
        <is>
          <t>High Performance</t>
        </is>
      </c>
      <c r="C24" s="1" t="inlineStr">
        <is>
          <t>W04 Code: Linked Lists</t>
        </is>
      </c>
      <c r="D24" s="23" t="n">
        <v>5</v>
      </c>
      <c r="E24" s="23" t="n">
        <v>5</v>
      </c>
      <c r="F24" s="23" t="n">
        <v>100</v>
      </c>
      <c r="G24" s="24" t="n">
        <v>0.9</v>
      </c>
      <c r="H24" s="24" t="inlineStr">
        <is>
          <t>y</t>
        </is>
      </c>
      <c r="I24" s="26">
        <f>DATE(YEAR(Setup!$C$4),MONTH(Setup!$C$4),DAY(Setup!$C$4)+((D24-1)*7)+(E24-WEEKDAY(DATE(YEAR(Setup!$C$4),MONTH(Setup!$C$4),DAY(Setup!$C$4)),1)))</f>
        <v/>
      </c>
      <c r="J24" s="26">
        <f>I24+3</f>
        <v/>
      </c>
      <c r="K24" s="26">
        <f>(I24 + (7 - WEEKDAY(I24,1))) + 1</f>
        <v/>
      </c>
      <c r="L24" s="23">
        <f>F24*G24</f>
        <v/>
      </c>
      <c r="M24" s="1" t="inlineStr">
        <is>
          <t>High Performance: W04 Code: Linked Lists</t>
        </is>
      </c>
      <c r="N24" s="3" t="inlineStr">
        <is>
          <t>Provide Positive Feedback on W04 Code: Linked Lists</t>
        </is>
      </c>
    </row>
    <row r="25" ht="15.95" customHeight="1">
      <c r="A25" s="1" t="inlineStr">
        <is>
          <t>CSE212</t>
        </is>
      </c>
      <c r="B25" s="1" t="inlineStr">
        <is>
          <t>Low Performance</t>
        </is>
      </c>
      <c r="C25" s="1" t="inlineStr">
        <is>
          <t>W04 Code: Linked Lists</t>
        </is>
      </c>
      <c r="D25" s="23" t="n">
        <v>5</v>
      </c>
      <c r="E25" s="23" t="n">
        <v>5</v>
      </c>
      <c r="F25" s="23" t="n">
        <v>100</v>
      </c>
      <c r="G25" s="24" t="n">
        <v>0.7</v>
      </c>
      <c r="H25" s="24" t="inlineStr">
        <is>
          <t>y</t>
        </is>
      </c>
      <c r="I25" s="26">
        <f>DATE(YEAR(Setup!$C$4),MONTH(Setup!$C$4),DAY(Setup!$C$4)+((D25-1)*7)+(E25-WEEKDAY(DATE(YEAR(Setup!$C$4),MONTH(Setup!$C$4),DAY(Setup!$C$4)),1)))</f>
        <v/>
      </c>
      <c r="J25" s="26">
        <f>I25+3</f>
        <v/>
      </c>
      <c r="K25" s="26">
        <f>(I25 + (7 - WEEKDAY(I25,1))) + 1</f>
        <v/>
      </c>
      <c r="L25" s="23">
        <f>F25*G25</f>
        <v/>
      </c>
      <c r="M25" s="1" t="inlineStr">
        <is>
          <t>Low Performance: W04 Code: Linked Lists</t>
        </is>
      </c>
      <c r="N25" s="3" t="inlineStr">
        <is>
          <t xml:space="preserve">At Risk. Student scored below 70% on W04 Code: Linked Lists. Check in to see how you can help. </t>
        </is>
      </c>
    </row>
    <row r="26">
      <c r="A26" s="1" t="inlineStr">
        <is>
          <t>CSE212</t>
        </is>
      </c>
      <c r="B26" s="1" t="inlineStr">
        <is>
          <t>Missing Assignment</t>
        </is>
      </c>
      <c r="C26" s="1" t="inlineStr">
        <is>
          <t>W05 Code: Recursion</t>
        </is>
      </c>
      <c r="D26" s="23" t="n">
        <v>6</v>
      </c>
      <c r="E26" s="23" t="n">
        <v>2</v>
      </c>
      <c r="F26" s="23" t="n">
        <v>100</v>
      </c>
      <c r="G26" s="24" t="n"/>
      <c r="H26" s="24" t="inlineStr">
        <is>
          <t>y</t>
        </is>
      </c>
      <c r="I26" s="26">
        <f>DATE(YEAR(Setup!$C$4),MONTH(Setup!$C$4),DAY(Setup!$C$4)+((D26-1)*7)+(E26-WEEKDAY(DATE(YEAR(Setup!$C$4),MONTH(Setup!$C$4),DAY(Setup!$C$4)),1)))</f>
        <v/>
      </c>
      <c r="J26" s="26">
        <f>I26+3</f>
        <v/>
      </c>
      <c r="K26" s="26">
        <f>(I26 + (7 - WEEKDAY(I26,1))) + 1</f>
        <v/>
      </c>
      <c r="L26" s="23">
        <f>F26*G26</f>
        <v/>
      </c>
      <c r="M26" s="1" t="inlineStr">
        <is>
          <t>Missing Assignment: W05 Code: Recursion</t>
        </is>
      </c>
      <c r="N26" s="1" t="inlineStr">
        <is>
          <t>Check in with student missing W05 Code: Recursion</t>
        </is>
      </c>
    </row>
    <row r="27">
      <c r="A27" s="1" t="inlineStr">
        <is>
          <t>CSE212</t>
        </is>
      </c>
      <c r="B27" s="1" t="inlineStr">
        <is>
          <t>Quiz Question</t>
        </is>
      </c>
      <c r="C27" s="1" t="inlineStr">
        <is>
          <t>W05 60-second Status Update: NeedHelp Answer: Yes</t>
        </is>
      </c>
      <c r="D27" s="23" t="n">
        <v>6</v>
      </c>
      <c r="E27" s="23" t="n">
        <v>2</v>
      </c>
      <c r="G27" s="24" t="n"/>
      <c r="H27" s="24" t="inlineStr">
        <is>
          <t>y</t>
        </is>
      </c>
      <c r="I27" s="26">
        <f>DATE(YEAR(Setup!$C$4),MONTH(Setup!$C$4),DAY(Setup!$C$4)+((D27-1)*7)+(E27-WEEKDAY(DATE(YEAR(Setup!$C$4),MONTH(Setup!$C$4),DAY(Setup!$C$4)),1)))</f>
        <v/>
      </c>
      <c r="J27" s="26">
        <f>I27+3</f>
        <v/>
      </c>
      <c r="K27" s="26">
        <f>(I27 + (7 - WEEKDAY(I27,1))) + 1</f>
        <v/>
      </c>
      <c r="L27" s="23">
        <f>F27*G27</f>
        <v/>
      </c>
      <c r="M27" s="1" t="inlineStr">
        <is>
          <t>Response to 60-second W05 Status Update. Student feels overwhelmed.</t>
        </is>
      </c>
      <c r="N27" s="1" t="inlineStr">
        <is>
          <t>Student responded feeling overwhelmed in W05 60-second Status Update. Reach out to student to see how you can help.</t>
        </is>
      </c>
    </row>
    <row r="28">
      <c r="A28" s="1" t="inlineStr">
        <is>
          <t>CSE212</t>
        </is>
      </c>
      <c r="B28" s="1" t="inlineStr">
        <is>
          <t>Grader-Issued 0</t>
        </is>
      </c>
      <c r="C28" s="1" t="inlineStr">
        <is>
          <t>W05 Code: Recursion</t>
        </is>
      </c>
      <c r="D28" s="23" t="n">
        <v>6</v>
      </c>
      <c r="E28" s="23" t="n">
        <v>4</v>
      </c>
      <c r="F28" s="23" t="n">
        <v>100</v>
      </c>
      <c r="G28" s="24" t="n"/>
      <c r="H28" s="24" t="inlineStr">
        <is>
          <t>y</t>
        </is>
      </c>
      <c r="I28" s="26">
        <f>DATE(YEAR(Setup!$C$4),MONTH(Setup!$C$4),DAY(Setup!$C$4)+((D28-1)*7)+(E28-WEEKDAY(DATE(YEAR(Setup!$C$4),MONTH(Setup!$C$4),DAY(Setup!$C$4)),1)))</f>
        <v/>
      </c>
      <c r="J28" s="26">
        <f>I28+3</f>
        <v/>
      </c>
      <c r="K28" s="26">
        <f>(I28 + (7 - WEEKDAY(I28,1))) + 1</f>
        <v/>
      </c>
      <c r="L28" s="23">
        <f>F28*G28</f>
        <v/>
      </c>
      <c r="M28" s="1" t="inlineStr">
        <is>
          <t>The student was given a Grader issued 0 on W05 Code: Recursion</t>
        </is>
      </c>
      <c r="N28" s="44" t="inlineStr">
        <is>
          <t>Grader issued 0 for W05 Code: Recursion. Log into Canvas and see the grader comments. Work with the student to help resubmit.</t>
        </is>
      </c>
    </row>
    <row r="29">
      <c r="A29" s="1" t="inlineStr">
        <is>
          <t>CSE212</t>
        </is>
      </c>
      <c r="B29" s="1" t="inlineStr">
        <is>
          <t>High Performance</t>
        </is>
      </c>
      <c r="C29" s="1" t="inlineStr">
        <is>
          <t>W05 Code: Recursion</t>
        </is>
      </c>
      <c r="D29" s="23" t="n">
        <v>6</v>
      </c>
      <c r="E29" s="23" t="n">
        <v>5</v>
      </c>
      <c r="F29" s="23" t="n">
        <v>100</v>
      </c>
      <c r="G29" s="24" t="n">
        <v>0.9</v>
      </c>
      <c r="H29" s="24" t="inlineStr">
        <is>
          <t>y</t>
        </is>
      </c>
      <c r="I29" s="26">
        <f>DATE(YEAR(Setup!$C$4),MONTH(Setup!$C$4),DAY(Setup!$C$4)+((D29-1)*7)+(E29-WEEKDAY(DATE(YEAR(Setup!$C$4),MONTH(Setup!$C$4),DAY(Setup!$C$4)),1)))</f>
        <v/>
      </c>
      <c r="J29" s="26">
        <f>I29+3</f>
        <v/>
      </c>
      <c r="K29" s="26">
        <f>(I29 + (7 - WEEKDAY(I29,1))) + 1</f>
        <v/>
      </c>
      <c r="L29" s="23">
        <f>F29*G29</f>
        <v/>
      </c>
      <c r="M29" s="1" t="inlineStr">
        <is>
          <t>High Performance: W05 Code: Recursion</t>
        </is>
      </c>
      <c r="N29" s="1" t="inlineStr">
        <is>
          <t>Provide Positive Feedback on W05 Code: Recursion</t>
        </is>
      </c>
    </row>
    <row r="30">
      <c r="A30" s="1" t="inlineStr">
        <is>
          <t>CSE212</t>
        </is>
      </c>
      <c r="B30" s="1" t="inlineStr">
        <is>
          <t>Low Performance</t>
        </is>
      </c>
      <c r="C30" s="1" t="inlineStr">
        <is>
          <t>W05 Code: Recursion</t>
        </is>
      </c>
      <c r="D30" s="23" t="n">
        <v>6</v>
      </c>
      <c r="E30" s="23" t="n">
        <v>5</v>
      </c>
      <c r="F30" s="23" t="n">
        <v>100</v>
      </c>
      <c r="G30" s="24" t="n">
        <v>0.7</v>
      </c>
      <c r="H30" s="24" t="inlineStr">
        <is>
          <t>y</t>
        </is>
      </c>
      <c r="I30" s="26">
        <f>DATE(YEAR(Setup!$C$4),MONTH(Setup!$C$4),DAY(Setup!$C$4)+((D30-1)*7)+(E30-WEEKDAY(DATE(YEAR(Setup!$C$4),MONTH(Setup!$C$4),DAY(Setup!$C$4)),1)))</f>
        <v/>
      </c>
      <c r="J30" s="26">
        <f>I30+3</f>
        <v/>
      </c>
      <c r="K30" s="26">
        <f>(I30 + (7 - WEEKDAY(I30,1))) + 1</f>
        <v/>
      </c>
      <c r="L30" s="23">
        <f>F30*G30</f>
        <v/>
      </c>
      <c r="M30" s="1" t="inlineStr">
        <is>
          <t>Low Performance: W05 Code: Recursion</t>
        </is>
      </c>
      <c r="N30" s="1" t="inlineStr">
        <is>
          <t xml:space="preserve">At Risk. Student scored below 70% on W05 Code: Recursion. Check in to see how you can help. </t>
        </is>
      </c>
    </row>
    <row r="31">
      <c r="A31" s="1" t="inlineStr">
        <is>
          <t>CSE212</t>
        </is>
      </c>
      <c r="B31" s="1" t="inlineStr">
        <is>
          <t>Scheduled - Classwide</t>
        </is>
      </c>
      <c r="C31" s="1" t="inlineStr">
        <is>
          <t>Registration Reminder 2</t>
        </is>
      </c>
      <c r="D31" s="23" t="n">
        <v>7</v>
      </c>
      <c r="E31" s="23" t="n">
        <v>1</v>
      </c>
      <c r="G31" s="24" t="n"/>
      <c r="H31" s="24" t="inlineStr">
        <is>
          <t>y</t>
        </is>
      </c>
      <c r="I31" s="26">
        <f>DATE(YEAR(Setup!$C$4),MONTH(Setup!$C$4),DAY(Setup!$C$4)+((D31-1)*7)+(E31-WEEKDAY(DATE(YEAR(Setup!$C$4),MONTH(Setup!$C$4),DAY(Setup!$C$4)),1)))</f>
        <v/>
      </c>
      <c r="J31" s="26">
        <f>I31+3</f>
        <v/>
      </c>
      <c r="K31" s="26">
        <f>(I31 + (7 - WEEKDAY(I31,1))) + 1</f>
        <v/>
      </c>
      <c r="L31" s="23">
        <f>F31*G31</f>
        <v/>
      </c>
      <c r="M31" s="1" t="inlineStr">
        <is>
          <t>Registration Reminder 2</t>
        </is>
      </c>
      <c r="N31" s="43" t="inlineStr">
        <is>
          <t>Send a message to all students, reminding them that registration for the next block is still open, but will be closing soon. Encourage them to go in and register as soon as possible.</t>
        </is>
      </c>
    </row>
    <row r="32">
      <c r="A32" s="1" t="inlineStr">
        <is>
          <t>CSE212</t>
        </is>
      </c>
      <c r="B32" s="1" t="inlineStr">
        <is>
          <t>Scheduled - Classwide</t>
        </is>
      </c>
      <c r="C32" s="1" t="inlineStr">
        <is>
          <t>End of Block Reminder</t>
        </is>
      </c>
      <c r="D32" s="23" t="n">
        <v>7</v>
      </c>
      <c r="E32" s="23" t="n">
        <v>2</v>
      </c>
      <c r="G32" s="24" t="n"/>
      <c r="H32" s="24" t="inlineStr">
        <is>
          <t>y</t>
        </is>
      </c>
      <c r="I32" s="26">
        <f>DATE(YEAR(Setup!$C$4),MONTH(Setup!$C$4),DAY(Setup!$C$4)+((D32-1)*7)+(E32-WEEKDAY(DATE(YEAR(Setup!$C$4),MONTH(Setup!$C$4),DAY(Setup!$C$4)),1)))</f>
        <v/>
      </c>
      <c r="J32" s="26">
        <f>I32+3</f>
        <v/>
      </c>
      <c r="K32" s="26">
        <f>(I32 + (7 - WEEKDAY(I32,1))) + 1</f>
        <v/>
      </c>
      <c r="L32" s="23">
        <f>F32*G32</f>
        <v/>
      </c>
      <c r="M32" s="1" t="inlineStr">
        <is>
          <t>End of Block Reminder</t>
        </is>
      </c>
      <c r="N32" s="44" t="inlineStr">
        <is>
          <t>Remind Students the course will be closing, submit assignments by deadline, complete End-of-Course Evaluation</t>
        </is>
      </c>
    </row>
  </sheetData>
  <sheetProtection selectLockedCells="1" selectUnlockedCells="0" algorithmName="SHA-512" sheet="1" objects="0" insertRows="0" insertHyperlinks="1" autoFilter="0" scenarios="0" formatColumns="1" deleteColumns="1" insertColumns="1" pivotTables="1" deleteRows="0" formatCells="0" saltValue="6qsBC6dK+gde86iXNNE5Kg==" formatRows="0" sort="0" spinCount="100000" hashValue="V95lSE2zP3qJKt8jon6+3TwPjMrm9Lvqh4mmQVGfDnSeyudpKL1KYBmJK9XqVYWfCMIGt5rlOExgfJIYjoe1gA=="/>
  <autoFilter ref="A1:N32"/>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8.xml><?xml version="1.0" encoding="utf-8"?>
<worksheet xmlns="http://schemas.openxmlformats.org/spreadsheetml/2006/main">
  <sheetPr codeName="Sheet6">
    <tabColor rgb="FF0070C0"/>
    <outlinePr summaryBelow="1" summaryRight="1"/>
    <pageSetUpPr/>
  </sheetPr>
  <dimension ref="A1:N80"/>
  <sheetViews>
    <sheetView zoomScale="85" workbookViewId="0">
      <pane xSplit="3" topLeftCell="D1" activePane="topRight" state="frozen"/>
      <selection pane="topRight" activeCell="F26" sqref="F26"/>
    </sheetView>
  </sheetViews>
  <sheetFormatPr baseColWidth="8" defaultColWidth="8.85546875" defaultRowHeight="15"/>
  <cols>
    <col width="13" customWidth="1" style="1" min="1" max="1"/>
    <col width="24.28515625" customWidth="1" style="1" min="2" max="2"/>
    <col width="31.85546875" customWidth="1" style="1" min="3" max="3"/>
    <col width="14.42578125" customWidth="1" style="1" min="4" max="4"/>
    <col width="14" customWidth="1" style="1" min="5" max="6"/>
    <col width="14.140625" customWidth="1" style="1" min="7" max="7"/>
    <col hidden="1" width="14.140625" customWidth="1" style="1"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CSE270</t>
        </is>
      </c>
      <c r="B2" s="1" t="inlineStr">
        <is>
          <t>New Student Added</t>
        </is>
      </c>
      <c r="D2" s="23" t="n">
        <v>0</v>
      </c>
      <c r="E2" s="23" t="n">
        <v>2</v>
      </c>
      <c r="F2" s="23" t="n"/>
      <c r="G2" s="24" t="n"/>
      <c r="H2" s="24" t="inlineStr">
        <is>
          <t>y</t>
        </is>
      </c>
      <c r="I2" s="26">
        <f>DATE(YEAR(Setup!$C$4),MONTH(Setup!$C$4),DAY(Setup!$C$4)+((D2-1)*7)+(E2-WEEKDAY(DATE(YEAR(Setup!$C$4),MONTH(Setup!$C$4),DAY(Setup!$C$4)),1)))</f>
        <v/>
      </c>
      <c r="J2" s="26">
        <f>I2+3</f>
        <v/>
      </c>
      <c r="K2" s="26">
        <f>(I2 + (7 - WEEKDAY(I2,1))) + 1</f>
        <v/>
      </c>
      <c r="L2" s="23">
        <f>F2*G2</f>
        <v/>
      </c>
      <c r="M2" s="1" t="inlineStr">
        <is>
          <t>Welcome Email</t>
        </is>
      </c>
      <c r="N2" s="1" t="inlineStr">
        <is>
          <t>Welcome students to your course</t>
        </is>
      </c>
    </row>
    <row r="3">
      <c r="A3" s="1" t="inlineStr">
        <is>
          <t>CSE270</t>
        </is>
      </c>
      <c r="B3" s="1" t="inlineStr">
        <is>
          <t>Scheduled - Not Logged In</t>
        </is>
      </c>
      <c r="C3" s="1" t="inlineStr">
        <is>
          <t>Not Logged In</t>
        </is>
      </c>
      <c r="D3" s="23" t="n">
        <v>1</v>
      </c>
      <c r="E3" s="23" t="n">
        <v>4</v>
      </c>
      <c r="F3" s="23" t="n"/>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CSE270</t>
        </is>
      </c>
      <c r="B4" s="1" t="inlineStr">
        <is>
          <t>Missing Assignment</t>
        </is>
      </c>
      <c r="C4" s="45" t="inlineStr">
        <is>
          <t>W01 Activity: Setup Test Management Tools</t>
        </is>
      </c>
      <c r="D4" s="23" t="n">
        <v>2</v>
      </c>
      <c r="E4" s="23" t="n">
        <v>2</v>
      </c>
      <c r="F4" s="23" t="n"/>
      <c r="G4" s="24" t="inlineStr">
        <is>
          <t xml:space="preserve"> </t>
        </is>
      </c>
      <c r="H4" s="24" t="inlineStr">
        <is>
          <t>y</t>
        </is>
      </c>
      <c r="I4" s="26">
        <f>DATE(YEAR(Setup!$C$4),MONTH(Setup!$C$4),DAY(Setup!$C$4)+((D4-1)*7)+(E4-WEEKDAY(DATE(YEAR(Setup!$C$4),MONTH(Setup!$C$4),DAY(Setup!$C$4)),1)))</f>
        <v/>
      </c>
      <c r="J4" s="26">
        <f>I4+3</f>
        <v/>
      </c>
      <c r="K4" s="26">
        <f>(I4 + (7 - WEEKDAY(I4,1))) + 1</f>
        <v/>
      </c>
      <c r="L4" s="23">
        <f>F4*G4</f>
        <v/>
      </c>
      <c r="M4" s="1" t="inlineStr">
        <is>
          <t>Missing Assignment: W01 Activity: Setup Test Management Tools</t>
        </is>
      </c>
      <c r="N4" s="1" t="inlineStr">
        <is>
          <t>Check in with student missing W01 Activity: Setup Test Management Tools</t>
        </is>
      </c>
    </row>
    <row r="5">
      <c r="A5" s="1" t="inlineStr">
        <is>
          <t>CSE270</t>
        </is>
      </c>
      <c r="B5" s="1" t="inlineStr">
        <is>
          <t>Grader-Issued 0</t>
        </is>
      </c>
      <c r="C5" s="45" t="inlineStr">
        <is>
          <t>W01 Activity: Setup Test Management Tools</t>
        </is>
      </c>
      <c r="D5" s="23" t="n">
        <v>2</v>
      </c>
      <c r="E5" s="23" t="n">
        <v>4</v>
      </c>
      <c r="F5" s="23" t="n">
        <v>15</v>
      </c>
      <c r="G5" s="24" t="n"/>
      <c r="H5" s="24" t="inlineStr">
        <is>
          <t>y</t>
        </is>
      </c>
      <c r="I5" s="26">
        <f>DATE(YEAR(Setup!$C$4),MONTH(Setup!$C$4),DAY(Setup!$C$4)+((D5-1)*7)+(E5-WEEKDAY(DATE(YEAR(Setup!$C$4),MONTH(Setup!$C$4),DAY(Setup!$C$4)),1)))</f>
        <v/>
      </c>
      <c r="J5" s="26">
        <f>I5+3</f>
        <v/>
      </c>
      <c r="K5" s="26">
        <f>(I5 + (7 - WEEKDAY(I5,1))) + 1</f>
        <v/>
      </c>
      <c r="L5" s="23">
        <f>F5*G5</f>
        <v/>
      </c>
      <c r="M5" s="1" t="inlineStr">
        <is>
          <t>The student was given a Grader issued 0 on W01 Activity: Setup Test Management Tools</t>
        </is>
      </c>
      <c r="N5" s="44" t="inlineStr">
        <is>
          <t>Grader issued 0 for W01 Activity: Setup Test Management Tools. Log into Canvas and see the grader comments. Work with the student to help resubmit.</t>
        </is>
      </c>
    </row>
    <row r="6">
      <c r="A6" s="1" t="inlineStr">
        <is>
          <t>CSE270</t>
        </is>
      </c>
      <c r="B6" s="1" t="inlineStr">
        <is>
          <t>High Performance</t>
        </is>
      </c>
      <c r="C6" s="45" t="inlineStr">
        <is>
          <t>W01 Activity: Setup Test Management Tools</t>
        </is>
      </c>
      <c r="D6" s="23" t="n">
        <v>2</v>
      </c>
      <c r="E6" s="23" t="n">
        <v>5</v>
      </c>
      <c r="F6" s="23" t="n">
        <v>15</v>
      </c>
      <c r="G6" s="24" t="n">
        <v>0.9</v>
      </c>
      <c r="H6" s="24" t="inlineStr">
        <is>
          <t>y</t>
        </is>
      </c>
      <c r="I6" s="26">
        <f>DATE(YEAR(Setup!$C$4),MONTH(Setup!$C$4),DAY(Setup!$C$4)+((D6-1)*7)+(E6-WEEKDAY(DATE(YEAR(Setup!$C$4),MONTH(Setup!$C$4),DAY(Setup!$C$4)),1)))</f>
        <v/>
      </c>
      <c r="J6" s="26">
        <f>I6+3</f>
        <v/>
      </c>
      <c r="K6" s="26">
        <f>(I6 + (7 - WEEKDAY(I6,1))) + 1</f>
        <v/>
      </c>
      <c r="L6" s="23">
        <f>F6*G6</f>
        <v/>
      </c>
      <c r="M6" s="1" t="inlineStr">
        <is>
          <t>High Performance: W01 Assignment: W01 Activity: Setup Test Management Tools</t>
        </is>
      </c>
      <c r="N6" s="1" t="inlineStr">
        <is>
          <t>Provide Positive Feedback on W01 Activity: Setup Test Management Tools</t>
        </is>
      </c>
    </row>
    <row r="7">
      <c r="A7" s="1" t="inlineStr">
        <is>
          <t>CSE270</t>
        </is>
      </c>
      <c r="B7" s="1" t="inlineStr">
        <is>
          <t>Low Performance</t>
        </is>
      </c>
      <c r="C7" s="45" t="inlineStr">
        <is>
          <t>W01 Activity: Setup Test Management Tools</t>
        </is>
      </c>
      <c r="D7" s="23" t="n">
        <v>2</v>
      </c>
      <c r="E7" s="23" t="n">
        <v>5</v>
      </c>
      <c r="F7" s="23" t="n">
        <v>15</v>
      </c>
      <c r="G7" s="24" t="n">
        <v>0.7</v>
      </c>
      <c r="H7" s="24" t="inlineStr">
        <is>
          <t>y</t>
        </is>
      </c>
      <c r="I7" s="26">
        <f>DATE(YEAR(Setup!$C$4),MONTH(Setup!$C$4),DAY(Setup!$C$4)+((D7-1)*7)+(E7-WEEKDAY(DATE(YEAR(Setup!$C$4),MONTH(Setup!$C$4),DAY(Setup!$C$4)),1)))</f>
        <v/>
      </c>
      <c r="J7" s="26">
        <f>I7+3</f>
        <v/>
      </c>
      <c r="K7" s="26">
        <f>(I7 + (7 - WEEKDAY(I7,1))) + 1</f>
        <v/>
      </c>
      <c r="L7" s="23">
        <f>F7*G7</f>
        <v/>
      </c>
      <c r="M7" s="1" t="inlineStr">
        <is>
          <t>Low Performance: W01 Activity: Setup Test Management Tools</t>
        </is>
      </c>
      <c r="N7" s="1" t="inlineStr">
        <is>
          <t xml:space="preserve">At Risk. Student scored below 70% on W01 Activity: Setup Test Management Tools. Check in to see how you can help. </t>
        </is>
      </c>
    </row>
    <row r="8">
      <c r="A8" s="1" t="inlineStr">
        <is>
          <t>CSE270</t>
        </is>
      </c>
      <c r="B8" s="1" t="inlineStr">
        <is>
          <t>Missing Assignment</t>
        </is>
      </c>
      <c r="C8" s="45" t="inlineStr">
        <is>
          <t>W02 Activity: Test Case Generation</t>
        </is>
      </c>
      <c r="D8" s="23" t="n">
        <v>3</v>
      </c>
      <c r="E8" s="23" t="n">
        <v>2</v>
      </c>
      <c r="F8" s="23" t="n"/>
      <c r="G8" s="24" t="n"/>
      <c r="H8" s="24" t="inlineStr">
        <is>
          <t>y</t>
        </is>
      </c>
      <c r="I8" s="26">
        <f>DATE(YEAR(Setup!$C$4),MONTH(Setup!$C$4),DAY(Setup!$C$4)+((D8-1)*7)+(E8-WEEKDAY(DATE(YEAR(Setup!$C$4),MONTH(Setup!$C$4),DAY(Setup!$C$4)),1)))</f>
        <v/>
      </c>
      <c r="J8" s="26">
        <f>I8+3</f>
        <v/>
      </c>
      <c r="K8" s="26">
        <f>(I8 + (7 - WEEKDAY(I8,1))) + 1</f>
        <v/>
      </c>
      <c r="L8" s="23">
        <f>F8*G8</f>
        <v/>
      </c>
      <c r="M8" s="1" t="inlineStr">
        <is>
          <t>Missing Assignment: W02 Activity: Test Case Generation</t>
        </is>
      </c>
      <c r="N8" s="1" t="inlineStr">
        <is>
          <t>Check in with student missing W02 Activity: Test Case Generation</t>
        </is>
      </c>
    </row>
    <row r="9">
      <c r="A9" s="1" t="inlineStr">
        <is>
          <t>CSE270</t>
        </is>
      </c>
      <c r="B9" s="1" t="inlineStr">
        <is>
          <t>Grader-Issued 0</t>
        </is>
      </c>
      <c r="C9" s="45" t="inlineStr">
        <is>
          <t>W02 Activity: Test Case Generation</t>
        </is>
      </c>
      <c r="D9" s="23" t="n">
        <v>3</v>
      </c>
      <c r="E9" s="23" t="n">
        <v>4</v>
      </c>
      <c r="F9" s="23" t="n">
        <v>100</v>
      </c>
      <c r="G9" s="24" t="n"/>
      <c r="H9" s="24" t="inlineStr">
        <is>
          <t>y</t>
        </is>
      </c>
      <c r="I9" s="26">
        <f>DATE(YEAR(Setup!$C$4),MONTH(Setup!$C$4),DAY(Setup!$C$4)+((D9-1)*7)+(E9-WEEKDAY(DATE(YEAR(Setup!$C$4),MONTH(Setup!$C$4),DAY(Setup!$C$4)),1)))</f>
        <v/>
      </c>
      <c r="J9" s="26">
        <f>I9+3</f>
        <v/>
      </c>
      <c r="K9" s="26">
        <f>(I9 + (7 - WEEKDAY(I9,1))) + 1</f>
        <v/>
      </c>
      <c r="L9" s="23">
        <f>F9*G9</f>
        <v/>
      </c>
      <c r="M9" s="1" t="inlineStr">
        <is>
          <t>The student was given a Grader issued 0 on W02 Activity: Test Case Generation</t>
        </is>
      </c>
      <c r="N9" s="44" t="inlineStr">
        <is>
          <t>Grader issued 0 for W02 Activity: Test Case Generation. Log into Canvas and see the grader comments. Work with the student to help resubmit.</t>
        </is>
      </c>
    </row>
    <row r="10">
      <c r="A10" s="1" t="inlineStr">
        <is>
          <t>CSE270</t>
        </is>
      </c>
      <c r="B10" s="1" t="inlineStr">
        <is>
          <t>High Performance</t>
        </is>
      </c>
      <c r="C10" s="45" t="inlineStr">
        <is>
          <t>W02 Activity: Test Case Generation</t>
        </is>
      </c>
      <c r="D10" s="23" t="n">
        <v>3</v>
      </c>
      <c r="E10" s="23" t="n">
        <v>5</v>
      </c>
      <c r="F10" s="23" t="n">
        <v>100</v>
      </c>
      <c r="G10" s="24" t="n">
        <v>0.9</v>
      </c>
      <c r="H10" s="24" t="inlineStr">
        <is>
          <t>y</t>
        </is>
      </c>
      <c r="I10" s="26">
        <f>DATE(YEAR(Setup!$C$4),MONTH(Setup!$C$4),DAY(Setup!$C$4)+((D10-1)*7)+(E10-WEEKDAY(DATE(YEAR(Setup!$C$4),MONTH(Setup!$C$4),DAY(Setup!$C$4)),1)))</f>
        <v/>
      </c>
      <c r="J10" s="26">
        <f>I10+3</f>
        <v/>
      </c>
      <c r="K10" s="26">
        <f>(I10 + (7 - WEEKDAY(I10,1))) + 1</f>
        <v/>
      </c>
      <c r="L10" s="23">
        <f>F10*G10</f>
        <v/>
      </c>
      <c r="M10" s="1" t="inlineStr">
        <is>
          <t>High Performance: W02 Activity: Test Case Generation</t>
        </is>
      </c>
      <c r="N10" s="1" t="inlineStr">
        <is>
          <t>Provide Positive Feedback on W02 Activity: Test Case Generation</t>
        </is>
      </c>
    </row>
    <row r="11">
      <c r="A11" s="1" t="inlineStr">
        <is>
          <t>CSE270</t>
        </is>
      </c>
      <c r="B11" s="1" t="inlineStr">
        <is>
          <t>Low Performance</t>
        </is>
      </c>
      <c r="C11" s="45" t="inlineStr">
        <is>
          <t>W02 Activity: Test Case Generation</t>
        </is>
      </c>
      <c r="D11" s="23" t="n">
        <v>3</v>
      </c>
      <c r="E11" s="23" t="n">
        <v>5</v>
      </c>
      <c r="F11" s="23" t="n">
        <v>100</v>
      </c>
      <c r="G11" s="24" t="n">
        <v>0.7</v>
      </c>
      <c r="H11" s="24" t="inlineStr">
        <is>
          <t>y</t>
        </is>
      </c>
      <c r="I11" s="26">
        <f>DATE(YEAR(Setup!$C$4),MONTH(Setup!$C$4),DAY(Setup!$C$4)+((D11-1)*7)+(E11-WEEKDAY(DATE(YEAR(Setup!$C$4),MONTH(Setup!$C$4),DAY(Setup!$C$4)),1)))</f>
        <v/>
      </c>
      <c r="J11" s="26">
        <f>I11+3</f>
        <v/>
      </c>
      <c r="K11" s="26">
        <f>(I11 + (7 - WEEKDAY(I11,1))) + 1</f>
        <v/>
      </c>
      <c r="L11" s="23">
        <f>F11*G11</f>
        <v/>
      </c>
      <c r="M11" s="1" t="inlineStr">
        <is>
          <t>Low Performance: W02 Activity: Test Case Generation</t>
        </is>
      </c>
      <c r="N11" s="1" t="inlineStr">
        <is>
          <t xml:space="preserve">At Risk. Student scored below 70% on W02 Activity: Test Case Generation. Check in to see how you can help. </t>
        </is>
      </c>
    </row>
    <row r="12">
      <c r="A12" s="1" t="inlineStr">
        <is>
          <t>CSE270</t>
        </is>
      </c>
      <c r="B12" s="1" t="inlineStr">
        <is>
          <t>Missing Assignment</t>
        </is>
      </c>
      <c r="C12" s="1" t="inlineStr">
        <is>
          <t>W03 Assignment: Test Cases Execution</t>
        </is>
      </c>
      <c r="D12" s="23" t="n">
        <v>4</v>
      </c>
      <c r="E12" s="23" t="n">
        <v>2</v>
      </c>
      <c r="F12" s="23" t="n"/>
      <c r="G12" s="24" t="n"/>
      <c r="H12" s="24" t="inlineStr">
        <is>
          <t>y</t>
        </is>
      </c>
      <c r="I12" s="26">
        <f>DATE(YEAR(Setup!$C$4),MONTH(Setup!$C$4),DAY(Setup!$C$4)+((D12-1)*7)+(E12-WEEKDAY(DATE(YEAR(Setup!$C$4),MONTH(Setup!$C$4),DAY(Setup!$C$4)),1)))</f>
        <v/>
      </c>
      <c r="J12" s="26">
        <f>I12+3</f>
        <v/>
      </c>
      <c r="K12" s="26">
        <f>(I12 + (7 - WEEKDAY(I12,1))) + 1</f>
        <v/>
      </c>
      <c r="L12" s="23">
        <f>F12*G12</f>
        <v/>
      </c>
      <c r="M12" s="1" t="inlineStr">
        <is>
          <t>Missing Assignment: W03 Assignment: Test Cases Execution</t>
        </is>
      </c>
      <c r="N12" s="1" t="inlineStr">
        <is>
          <t>Check in with student missing W03 Assignment: Test Cases Execution</t>
        </is>
      </c>
    </row>
    <row r="13">
      <c r="A13" s="1" t="inlineStr">
        <is>
          <t>CSE270</t>
        </is>
      </c>
      <c r="B13" s="1" t="inlineStr">
        <is>
          <t>Grader-Issued 0</t>
        </is>
      </c>
      <c r="C13" s="1" t="inlineStr">
        <is>
          <t>W03 Assignment: Test Cases Execution</t>
        </is>
      </c>
      <c r="D13" s="23" t="n">
        <v>4</v>
      </c>
      <c r="E13" s="23" t="n">
        <v>4</v>
      </c>
      <c r="F13" s="23" t="n">
        <v>100</v>
      </c>
      <c r="G13" s="24" t="n"/>
      <c r="H13" s="24" t="inlineStr">
        <is>
          <t>y</t>
        </is>
      </c>
      <c r="I13" s="26">
        <f>DATE(YEAR(Setup!$C$4),MONTH(Setup!$C$4),DAY(Setup!$C$4)+((D13-1)*7)+(E13-WEEKDAY(DATE(YEAR(Setup!$C$4),MONTH(Setup!$C$4),DAY(Setup!$C$4)),1)))</f>
        <v/>
      </c>
      <c r="J13" s="26">
        <f>I13+3</f>
        <v/>
      </c>
      <c r="K13" s="26">
        <f>(I13 + (7 - WEEKDAY(I13,1))) + 1</f>
        <v/>
      </c>
      <c r="L13" s="23">
        <f>F13*G13</f>
        <v/>
      </c>
      <c r="M13" s="1" t="inlineStr">
        <is>
          <t>The student was given a Grader issued 0 on W03 Assignment: Test Cases Execution</t>
        </is>
      </c>
      <c r="N13" s="44" t="inlineStr">
        <is>
          <t>Grader issued 0 for W03 Assignment: Test Cases Execution. Log into Canvas and see the grader comments. Work with the student to help resubmit.</t>
        </is>
      </c>
    </row>
    <row r="14">
      <c r="A14" s="1" t="inlineStr">
        <is>
          <t>CSE270</t>
        </is>
      </c>
      <c r="B14" s="1" t="inlineStr">
        <is>
          <t>Scheduled - Low Current Grade</t>
        </is>
      </c>
      <c r="C14" s="1" t="inlineStr">
        <is>
          <t>Withdraw Deadline Reminder</t>
        </is>
      </c>
      <c r="D14" s="23" t="n">
        <v>4</v>
      </c>
      <c r="E14" s="23" t="n">
        <v>4</v>
      </c>
      <c r="F14" s="23" t="n"/>
      <c r="G14" s="24" t="n">
        <v>0.5</v>
      </c>
      <c r="H14" s="24" t="inlineStr">
        <is>
          <t>y</t>
        </is>
      </c>
      <c r="I14" s="26">
        <f>DATE(YEAR(Setup!$C$4),MONTH(Setup!$C$4),DAY(Setup!$C$4)+((D14-1)*7)+(E14-WEEKDAY(DATE(YEAR(Setup!$C$4),MONTH(Setup!$C$4),DAY(Setup!$C$4)),1)))</f>
        <v/>
      </c>
      <c r="J14" s="26">
        <f>I14+3</f>
        <v/>
      </c>
      <c r="K14" s="26">
        <f>(I14 + (7 - WEEKDAY(I14,1))) + 1</f>
        <v/>
      </c>
      <c r="L14" s="23">
        <f>F14*G14</f>
        <v/>
      </c>
      <c r="M14" s="1" t="inlineStr">
        <is>
          <t>Failing student. Withdraw Reminder</t>
        </is>
      </c>
      <c r="N14" s="1" t="inlineStr">
        <is>
          <t>Email students who are currently failing with little chance to catch up, reminding them of the withdraw deadline.</t>
        </is>
      </c>
    </row>
    <row r="15">
      <c r="A15" s="1" t="inlineStr">
        <is>
          <t>CSE270</t>
        </is>
      </c>
      <c r="B15" s="1" t="inlineStr">
        <is>
          <t>High Performance</t>
        </is>
      </c>
      <c r="C15" s="1" t="inlineStr">
        <is>
          <t>W03 Assignment: Test Cases Execution</t>
        </is>
      </c>
      <c r="D15" s="23" t="n">
        <v>4</v>
      </c>
      <c r="E15" s="23" t="n">
        <v>5</v>
      </c>
      <c r="F15" s="23" t="n">
        <v>100</v>
      </c>
      <c r="G15" s="24" t="n">
        <v>0.9</v>
      </c>
      <c r="H15" s="24" t="inlineStr">
        <is>
          <t>y</t>
        </is>
      </c>
      <c r="I15" s="26">
        <f>DATE(YEAR(Setup!$C$4),MONTH(Setup!$C$4),DAY(Setup!$C$4)+((D15-1)*7)+(E15-WEEKDAY(DATE(YEAR(Setup!$C$4),MONTH(Setup!$C$4),DAY(Setup!$C$4)),1)))</f>
        <v/>
      </c>
      <c r="J15" s="26">
        <f>I15+3</f>
        <v/>
      </c>
      <c r="K15" s="26">
        <f>(I15 + (7 - WEEKDAY(I15,1))) + 1</f>
        <v/>
      </c>
      <c r="L15" s="23">
        <f>F15*G15</f>
        <v/>
      </c>
      <c r="M15" s="1" t="inlineStr">
        <is>
          <t>High Performance: W03 Assignment: Test Cases Execution</t>
        </is>
      </c>
      <c r="N15" s="1" t="inlineStr">
        <is>
          <t>Provide Positive Feedback on W03 Assignment: Test Cases Execution</t>
        </is>
      </c>
    </row>
    <row r="16">
      <c r="A16" s="1" t="inlineStr">
        <is>
          <t>CSE270</t>
        </is>
      </c>
      <c r="B16" s="1" t="inlineStr">
        <is>
          <t>Low Performance</t>
        </is>
      </c>
      <c r="C16" s="1" t="inlineStr">
        <is>
          <t>W03 Assignment: Test Cases Execution</t>
        </is>
      </c>
      <c r="D16" s="23" t="n">
        <v>4</v>
      </c>
      <c r="E16" s="23" t="n">
        <v>5</v>
      </c>
      <c r="F16" s="23" t="n">
        <v>100</v>
      </c>
      <c r="G16" s="24" t="n">
        <v>0.7</v>
      </c>
      <c r="H16" s="24" t="inlineStr">
        <is>
          <t>y</t>
        </is>
      </c>
      <c r="I16" s="26">
        <f>DATE(YEAR(Setup!$C$4),MONTH(Setup!$C$4),DAY(Setup!$C$4)+((D16-1)*7)+(E16-WEEKDAY(DATE(YEAR(Setup!$C$4),MONTH(Setup!$C$4),DAY(Setup!$C$4)),1)))</f>
        <v/>
      </c>
      <c r="J16" s="26">
        <f>I16+3</f>
        <v/>
      </c>
      <c r="K16" s="26">
        <f>(I16 + (7 - WEEKDAY(I16,1))) + 1</f>
        <v/>
      </c>
      <c r="L16" s="23">
        <f>F16*G16</f>
        <v/>
      </c>
      <c r="M16" s="1" t="inlineStr">
        <is>
          <t>Low Performance: W03 Assignment: Test Cases Execution</t>
        </is>
      </c>
      <c r="N16" s="1" t="inlineStr">
        <is>
          <t xml:space="preserve">At Risk. Student scored below 70% on W03 Assignment: Test Cases Execution. Check in to see how you can help. </t>
        </is>
      </c>
    </row>
    <row r="17">
      <c r="A17" s="1" t="inlineStr">
        <is>
          <t>CSE270</t>
        </is>
      </c>
      <c r="B17" s="1" t="inlineStr">
        <is>
          <t>Missing Assignment</t>
        </is>
      </c>
      <c r="C17" s="1" t="inlineStr">
        <is>
          <t>W04 Activity: Regression and Integration Tests</t>
        </is>
      </c>
      <c r="D17" s="23" t="n">
        <v>5</v>
      </c>
      <c r="E17" s="23" t="n">
        <v>2</v>
      </c>
      <c r="F17" s="23" t="n"/>
      <c r="G17" s="24" t="n"/>
      <c r="H17" s="24" t="inlineStr">
        <is>
          <t>y</t>
        </is>
      </c>
      <c r="I17" s="26">
        <f>DATE(YEAR(Setup!$C$4),MONTH(Setup!$C$4),DAY(Setup!$C$4)+((D17-1)*7)+(E17-WEEKDAY(DATE(YEAR(Setup!$C$4),MONTH(Setup!$C$4),DAY(Setup!$C$4)),1)))</f>
        <v/>
      </c>
      <c r="J17" s="26">
        <f>I17+3</f>
        <v/>
      </c>
      <c r="K17" s="26">
        <f>(I17 + (7 - WEEKDAY(I17,1))) + 1</f>
        <v/>
      </c>
      <c r="L17" s="23">
        <f>F17*G17</f>
        <v/>
      </c>
      <c r="M17" s="1" t="inlineStr">
        <is>
          <t>Missing Assignment: W04 Activity: Regression and Integration Tests</t>
        </is>
      </c>
      <c r="N17" s="1" t="inlineStr">
        <is>
          <t>Check in with student missing W04 Activity: Regression and Integration Tests</t>
        </is>
      </c>
    </row>
    <row r="18">
      <c r="A18" s="1" t="inlineStr">
        <is>
          <t>CSE270</t>
        </is>
      </c>
      <c r="B18" s="1" t="inlineStr">
        <is>
          <t>Grader-Issued 0</t>
        </is>
      </c>
      <c r="C18" s="1" t="inlineStr">
        <is>
          <t>W04 Activity: Regression and Integration Tests</t>
        </is>
      </c>
      <c r="D18" s="23" t="n">
        <v>5</v>
      </c>
      <c r="E18" s="23" t="n">
        <v>4</v>
      </c>
      <c r="F18" s="23" t="n">
        <v>110</v>
      </c>
      <c r="G18" s="24" t="n"/>
      <c r="H18" s="24" t="inlineStr">
        <is>
          <t>y</t>
        </is>
      </c>
      <c r="I18" s="26">
        <f>DATE(YEAR(Setup!$C$4),MONTH(Setup!$C$4),DAY(Setup!$C$4)+((D18-1)*7)+(E18-WEEKDAY(DATE(YEAR(Setup!$C$4),MONTH(Setup!$C$4),DAY(Setup!$C$4)),1)))</f>
        <v/>
      </c>
      <c r="J18" s="26">
        <f>I18+3</f>
        <v/>
      </c>
      <c r="K18" s="26">
        <f>(I18 + (7 - WEEKDAY(I18,1))) + 1</f>
        <v/>
      </c>
      <c r="L18" s="23">
        <f>F18*G18</f>
        <v/>
      </c>
      <c r="M18" s="1" t="inlineStr">
        <is>
          <t>The student was given a Grader issued 0 on W04 Activity: Regression and Integration Tests</t>
        </is>
      </c>
      <c r="N18" s="44" t="inlineStr">
        <is>
          <t>Grader issued 0 for W04 Activity: Regression and Integration Tests. Log into Canvas and see the grader comments. Work with the student to help resubmit.</t>
        </is>
      </c>
    </row>
    <row r="19">
      <c r="A19" s="1" t="inlineStr">
        <is>
          <t>CSE270</t>
        </is>
      </c>
      <c r="B19" s="1" t="inlineStr">
        <is>
          <t>Scheduled - Classwide</t>
        </is>
      </c>
      <c r="C19" s="1" t="inlineStr">
        <is>
          <t>Registration Reminder 1</t>
        </is>
      </c>
      <c r="D19" s="23" t="n">
        <v>5</v>
      </c>
      <c r="E19" s="23" t="n">
        <v>4</v>
      </c>
      <c r="F19" s="23" t="n"/>
      <c r="G19" s="24" t="n"/>
      <c r="H19" s="24" t="inlineStr">
        <is>
          <t>y</t>
        </is>
      </c>
      <c r="I19" s="26">
        <f>DATE(YEAR(Setup!$C$4),MONTH(Setup!$C$4),DAY(Setup!$C$4)+((D19-1)*7)+(E19-WEEKDAY(DATE(YEAR(Setup!$C$4),MONTH(Setup!$C$4),DAY(Setup!$C$4)),1)))</f>
        <v/>
      </c>
      <c r="J19" s="26">
        <f>I19+3</f>
        <v/>
      </c>
      <c r="K19" s="26">
        <f>(I19 + (7 - WEEKDAY(I19,1))) + 1</f>
        <v/>
      </c>
      <c r="L19" s="23">
        <f>F19*G19</f>
        <v/>
      </c>
      <c r="M19" s="1" t="inlineStr">
        <is>
          <t>Registration Reminder 1</t>
        </is>
      </c>
      <c r="N19" s="43" t="inlineStr">
        <is>
          <t>Send a message to all students, reminding them that registration for the next block is now open and encouraging them to go and take action.</t>
        </is>
      </c>
    </row>
    <row r="20">
      <c r="A20" s="1" t="inlineStr">
        <is>
          <t>CSE270</t>
        </is>
      </c>
      <c r="B20" s="1" t="inlineStr">
        <is>
          <t>High Performance</t>
        </is>
      </c>
      <c r="C20" s="1" t="inlineStr">
        <is>
          <t>W04 Activity: Regression and Integration Tests</t>
        </is>
      </c>
      <c r="D20" s="23" t="n">
        <v>5</v>
      </c>
      <c r="E20" s="23" t="n">
        <v>5</v>
      </c>
      <c r="F20" s="23" t="n">
        <v>110</v>
      </c>
      <c r="G20" s="24" t="n">
        <v>0.9</v>
      </c>
      <c r="H20" s="24" t="inlineStr">
        <is>
          <t>y</t>
        </is>
      </c>
      <c r="I20" s="26">
        <f>DATE(YEAR(Setup!$C$4),MONTH(Setup!$C$4),DAY(Setup!$C$4)+((D20-1)*7)+(E20-WEEKDAY(DATE(YEAR(Setup!$C$4),MONTH(Setup!$C$4),DAY(Setup!$C$4)),1)))</f>
        <v/>
      </c>
      <c r="J20" s="26">
        <f>I20+3</f>
        <v/>
      </c>
      <c r="K20" s="26">
        <f>(I20 + (7 - WEEKDAY(I20,1))) + 1</f>
        <v/>
      </c>
      <c r="L20" s="23">
        <f>F20*G20</f>
        <v/>
      </c>
      <c r="M20" s="1" t="inlineStr">
        <is>
          <t>High Performance: W04 Activity: Regression and Integration Tests</t>
        </is>
      </c>
      <c r="N20" s="1" t="inlineStr">
        <is>
          <t>Provide Positive Feedback on W04 Activity: Regression and Integration Tests</t>
        </is>
      </c>
    </row>
    <row r="21">
      <c r="A21" s="1" t="inlineStr">
        <is>
          <t>CSE270</t>
        </is>
      </c>
      <c r="B21" s="1" t="inlineStr">
        <is>
          <t>Low Performance</t>
        </is>
      </c>
      <c r="C21" s="1" t="inlineStr">
        <is>
          <t>W04 Activity: Regression and Integration Tests</t>
        </is>
      </c>
      <c r="D21" s="23" t="n">
        <v>5</v>
      </c>
      <c r="E21" s="23" t="n">
        <v>5</v>
      </c>
      <c r="F21" s="23" t="n">
        <v>110</v>
      </c>
      <c r="G21" s="24" t="n">
        <v>0.7</v>
      </c>
      <c r="H21" s="24" t="inlineStr">
        <is>
          <t>y</t>
        </is>
      </c>
      <c r="I21" s="26">
        <f>DATE(YEAR(Setup!$C$4),MONTH(Setup!$C$4),DAY(Setup!$C$4)+((D21-1)*7)+(E21-WEEKDAY(DATE(YEAR(Setup!$C$4),MONTH(Setup!$C$4),DAY(Setup!$C$4)),1)))</f>
        <v/>
      </c>
      <c r="J21" s="26">
        <f>I21+3</f>
        <v/>
      </c>
      <c r="K21" s="26">
        <f>(I21 + (7 - WEEKDAY(I21,1))) + 1</f>
        <v/>
      </c>
      <c r="L21" s="23">
        <f>F21*G21</f>
        <v/>
      </c>
      <c r="M21" s="1" t="inlineStr">
        <is>
          <t>Low Performance: W04 Activity: Regression and Integration Tests</t>
        </is>
      </c>
      <c r="N21" s="1" t="inlineStr">
        <is>
          <t xml:space="preserve">At Risk. Student scored below 70% on W04 Activity: Regression and Integration Tests. Check in to see how you can help. </t>
        </is>
      </c>
    </row>
    <row r="22">
      <c r="A22" s="1" t="inlineStr">
        <is>
          <t>CSE270</t>
        </is>
      </c>
      <c r="B22" s="1" t="inlineStr">
        <is>
          <t>Missing Assignment</t>
        </is>
      </c>
      <c r="C22" s="1" t="inlineStr">
        <is>
          <t>W05 Activity: Conducting a Load Test</t>
        </is>
      </c>
      <c r="D22" s="23" t="n">
        <v>6</v>
      </c>
      <c r="E22" s="23" t="n">
        <v>2</v>
      </c>
      <c r="F22" s="23" t="n"/>
      <c r="G22" s="24" t="n"/>
      <c r="H22" s="24" t="inlineStr">
        <is>
          <t>y</t>
        </is>
      </c>
      <c r="I22" s="26">
        <f>DATE(YEAR(Setup!$C$4),MONTH(Setup!$C$4),DAY(Setup!$C$4)+((D22-1)*7)+(E22-WEEKDAY(DATE(YEAR(Setup!$C$4),MONTH(Setup!$C$4),DAY(Setup!$C$4)),1)))</f>
        <v/>
      </c>
      <c r="J22" s="26">
        <f>I22+3</f>
        <v/>
      </c>
      <c r="K22" s="26">
        <f>(I22 + (7 - WEEKDAY(I22,1))) + 1</f>
        <v/>
      </c>
      <c r="L22" s="23">
        <f>F22*G22</f>
        <v/>
      </c>
      <c r="M22" s="1" t="inlineStr">
        <is>
          <t>Missing Assignment: W05 Activity: Conducting a Load Test</t>
        </is>
      </c>
      <c r="N22" s="1" t="inlineStr">
        <is>
          <t>Check in with student missing W05 Activity: Conducting a Load Test</t>
        </is>
      </c>
    </row>
    <row r="23">
      <c r="A23" s="1" t="inlineStr">
        <is>
          <t>CSE270</t>
        </is>
      </c>
      <c r="B23" s="1" t="inlineStr">
        <is>
          <t>Grader-Issued 0</t>
        </is>
      </c>
      <c r="C23" s="1" t="inlineStr">
        <is>
          <t>W05 Activity: Conducting a Load Test</t>
        </is>
      </c>
      <c r="D23" s="23" t="n">
        <v>6</v>
      </c>
      <c r="E23" s="23" t="n">
        <v>4</v>
      </c>
      <c r="F23" s="23" t="n">
        <v>50</v>
      </c>
      <c r="G23" s="24" t="n"/>
      <c r="H23" s="24" t="inlineStr">
        <is>
          <t>y</t>
        </is>
      </c>
      <c r="I23" s="26">
        <f>DATE(YEAR(Setup!$C$4),MONTH(Setup!$C$4),DAY(Setup!$C$4)+((D23-1)*7)+(E23-WEEKDAY(DATE(YEAR(Setup!$C$4),MONTH(Setup!$C$4),DAY(Setup!$C$4)),1)))</f>
        <v/>
      </c>
      <c r="J23" s="26">
        <f>I23+3</f>
        <v/>
      </c>
      <c r="K23" s="26">
        <f>(I23 + (7 - WEEKDAY(I23,1))) + 1</f>
        <v/>
      </c>
      <c r="L23" s="23">
        <f>F23*G23</f>
        <v/>
      </c>
      <c r="M23" s="1" t="inlineStr">
        <is>
          <t>The student was given a Grader issued 0 on W05 Activity: Conducting a Load Test</t>
        </is>
      </c>
      <c r="N23" s="44" t="inlineStr">
        <is>
          <t>Grader issued 0 for W05 Activity: Conducting a Load Test. Log into Canvas and see the grader comments. Work with the student to help resubmit.</t>
        </is>
      </c>
    </row>
    <row r="24">
      <c r="A24" s="1" t="inlineStr">
        <is>
          <t>CSE270</t>
        </is>
      </c>
      <c r="B24" s="1" t="inlineStr">
        <is>
          <t>High Performance</t>
        </is>
      </c>
      <c r="C24" s="1" t="inlineStr">
        <is>
          <t>W05 Activity: Conducting a Load Test</t>
        </is>
      </c>
      <c r="D24" s="23" t="n">
        <v>6</v>
      </c>
      <c r="E24" s="23" t="n">
        <v>5</v>
      </c>
      <c r="F24" s="23" t="n">
        <v>50</v>
      </c>
      <c r="G24" s="24" t="n">
        <v>0.9</v>
      </c>
      <c r="H24" s="24" t="inlineStr">
        <is>
          <t>y</t>
        </is>
      </c>
      <c r="I24" s="26">
        <f>DATE(YEAR(Setup!$C$4),MONTH(Setup!$C$4),DAY(Setup!$C$4)+((D24-1)*7)+(E24-WEEKDAY(DATE(YEAR(Setup!$C$4),MONTH(Setup!$C$4),DAY(Setup!$C$4)),1)))</f>
        <v/>
      </c>
      <c r="J24" s="26">
        <f>I24+3</f>
        <v/>
      </c>
      <c r="K24" s="26">
        <f>(I24 + (7 - WEEKDAY(I24,1))) + 1</f>
        <v/>
      </c>
      <c r="L24" s="23">
        <f>F24*G24</f>
        <v/>
      </c>
      <c r="M24" s="1" t="inlineStr">
        <is>
          <t>High Performance: W05 Activity: Conducting a Load Test</t>
        </is>
      </c>
      <c r="N24" s="1" t="inlineStr">
        <is>
          <t>Provide Positive Feedback onW05 Activity: Conducting a Load Test</t>
        </is>
      </c>
    </row>
    <row r="25">
      <c r="A25" s="1" t="inlineStr">
        <is>
          <t>CSE270</t>
        </is>
      </c>
      <c r="B25" s="1" t="inlineStr">
        <is>
          <t>Low Performance</t>
        </is>
      </c>
      <c r="C25" s="1" t="inlineStr">
        <is>
          <t>W05 Activity: Conducting a Load Test</t>
        </is>
      </c>
      <c r="D25" s="23" t="n">
        <v>6</v>
      </c>
      <c r="E25" s="23" t="n">
        <v>5</v>
      </c>
      <c r="F25" s="23" t="n">
        <v>50</v>
      </c>
      <c r="G25" s="24" t="n">
        <v>0.7</v>
      </c>
      <c r="H25" s="24" t="inlineStr">
        <is>
          <t>y</t>
        </is>
      </c>
      <c r="I25" s="26">
        <f>DATE(YEAR(Setup!$C$4),MONTH(Setup!$C$4),DAY(Setup!$C$4)+((D25-1)*7)+(E25-WEEKDAY(DATE(YEAR(Setup!$C$4),MONTH(Setup!$C$4),DAY(Setup!$C$4)),1)))</f>
        <v/>
      </c>
      <c r="J25" s="26">
        <f>I25+3</f>
        <v/>
      </c>
      <c r="K25" s="26">
        <f>(I25 + (7 - WEEKDAY(I25,1))) + 1</f>
        <v/>
      </c>
      <c r="L25" s="23">
        <f>F25*G25</f>
        <v/>
      </c>
      <c r="M25" s="1" t="inlineStr">
        <is>
          <t>Low Performance: W05 Activity: Conducting a Load Test</t>
        </is>
      </c>
      <c r="N25" s="1" t="inlineStr">
        <is>
          <t xml:space="preserve">At Risk. Student scored below 70% on W05 Activity: Conducting a Load Test. Check in to see how you can help. </t>
        </is>
      </c>
    </row>
    <row r="26">
      <c r="A26" s="1" t="inlineStr">
        <is>
          <t>CSE270</t>
        </is>
      </c>
      <c r="B26" s="1" t="inlineStr">
        <is>
          <t>Scheduled - Classwide</t>
        </is>
      </c>
      <c r="C26" s="1" t="inlineStr">
        <is>
          <t>Registration Reminder 2</t>
        </is>
      </c>
      <c r="D26" s="23" t="n">
        <v>7</v>
      </c>
      <c r="E26" s="23" t="n">
        <v>1</v>
      </c>
      <c r="F26" s="23" t="n"/>
      <c r="G26" s="24" t="n"/>
      <c r="H26" s="24" t="inlineStr">
        <is>
          <t>y</t>
        </is>
      </c>
      <c r="I26" s="26">
        <f>DATE(YEAR(Setup!$C$4),MONTH(Setup!$C$4),DAY(Setup!$C$4)+((D26-1)*7)+(E26-WEEKDAY(DATE(YEAR(Setup!$C$4),MONTH(Setup!$C$4),DAY(Setup!$C$4)),1)))</f>
        <v/>
      </c>
      <c r="J26" s="26">
        <f>I26+3</f>
        <v/>
      </c>
      <c r="K26" s="26">
        <f>(I26 + (7 - WEEKDAY(I26,1))) + 1</f>
        <v/>
      </c>
      <c r="L26" s="23">
        <f>F26*G26</f>
        <v/>
      </c>
      <c r="M26" s="1" t="inlineStr">
        <is>
          <t>Registration Reminder 2</t>
        </is>
      </c>
      <c r="N26" s="43" t="inlineStr">
        <is>
          <t>Send a message to all students, reminding them that registration for the next block is still open, but will be closing soon. Encourage them to go in and register as soon as possible.</t>
        </is>
      </c>
    </row>
    <row r="27">
      <c r="A27" s="1" t="inlineStr">
        <is>
          <t>CSE270</t>
        </is>
      </c>
      <c r="B27" s="1" t="inlineStr">
        <is>
          <t>Scheduled - Classwide</t>
        </is>
      </c>
      <c r="C27" s="1" t="inlineStr">
        <is>
          <t>End of Block Reminder</t>
        </is>
      </c>
      <c r="D27" s="23" t="n">
        <v>7</v>
      </c>
      <c r="E27" s="23" t="n">
        <v>2</v>
      </c>
      <c r="F27" s="23" t="n"/>
      <c r="G27" s="24" t="n"/>
      <c r="H27" s="24" t="inlineStr">
        <is>
          <t>y</t>
        </is>
      </c>
      <c r="I27" s="26">
        <f>DATE(YEAR(Setup!$C$4),MONTH(Setup!$C$4),DAY(Setup!$C$4)+((D27-1)*7)+(E27-WEEKDAY(DATE(YEAR(Setup!$C$4),MONTH(Setup!$C$4),DAY(Setup!$C$4)),1)))</f>
        <v/>
      </c>
      <c r="J27" s="26">
        <f>I27+3</f>
        <v/>
      </c>
      <c r="K27" s="26">
        <f>(I27 + (7 - WEEKDAY(I27,1))) + 1</f>
        <v/>
      </c>
      <c r="L27" s="23">
        <f>F27*G27</f>
        <v/>
      </c>
      <c r="M27" s="1" t="inlineStr">
        <is>
          <t>End of Block Reminder</t>
        </is>
      </c>
      <c r="N27" s="44" t="inlineStr">
        <is>
          <t>Remind Students the course will be closing, submit assignments by deadline, complete End-of-Course Evaluation</t>
        </is>
      </c>
    </row>
    <row r="28">
      <c r="D28" s="23" t="n"/>
      <c r="E28" s="23" t="n"/>
      <c r="F28" s="23" t="n"/>
      <c r="G28" s="24" t="n"/>
      <c r="H28" s="24" t="n"/>
      <c r="I28" s="26" t="n"/>
      <c r="J28" s="26" t="n"/>
      <c r="K28" s="26" t="n"/>
      <c r="N28" s="44" t="n"/>
    </row>
    <row r="29">
      <c r="D29" s="23" t="n"/>
      <c r="E29" s="23" t="n"/>
      <c r="F29" s="23" t="n"/>
      <c r="G29" s="24" t="n"/>
      <c r="H29" s="24" t="n"/>
      <c r="I29" s="26" t="n"/>
      <c r="J29" s="26" t="n"/>
      <c r="K29" s="26" t="n"/>
    </row>
    <row r="30">
      <c r="D30" s="23" t="n"/>
      <c r="E30" s="23" t="n"/>
      <c r="F30" s="23" t="n"/>
      <c r="G30" s="24" t="n"/>
      <c r="H30" s="24" t="n"/>
      <c r="I30" s="26" t="n"/>
      <c r="J30" s="26" t="n"/>
      <c r="K30" s="26" t="n"/>
    </row>
    <row r="31">
      <c r="D31" s="23" t="n"/>
      <c r="E31" s="23" t="n"/>
      <c r="F31" s="23" t="n"/>
      <c r="G31" s="24" t="n"/>
      <c r="H31" s="24" t="n"/>
      <c r="I31" s="26" t="n"/>
      <c r="J31" s="26" t="n"/>
      <c r="K31" s="26" t="n"/>
      <c r="N31" s="43" t="n"/>
    </row>
    <row r="32">
      <c r="D32" s="23" t="n"/>
      <c r="E32" s="23" t="n"/>
      <c r="F32" s="23" t="n"/>
      <c r="G32" s="24" t="n"/>
      <c r="H32" s="24" t="n"/>
      <c r="I32" s="26" t="n"/>
      <c r="J32" s="26" t="n"/>
      <c r="K32" s="26" t="n"/>
      <c r="N32" s="44" t="n"/>
    </row>
    <row r="33">
      <c r="G33" s="2" t="n"/>
      <c r="H33" s="2" t="n"/>
      <c r="I33" s="26">
        <f>DATE(YEAR(Setup!$C$4),MONTH(Setup!$C$4),DAY(Setup!$C$4)+((D33-1)*7)+(E33-WEEKDAY(DATE(YEAR(Setup!$C$4),MONTH(Setup!$C$4),DAY(Setup!$C$4)),1)))</f>
        <v/>
      </c>
      <c r="J33" s="26">
        <f>I33+3</f>
        <v/>
      </c>
      <c r="K33" s="26">
        <f>(I33 + (7 - WEEKDAY(I33,1))) + 1</f>
        <v/>
      </c>
      <c r="L33" s="23">
        <f>F33*G33</f>
        <v/>
      </c>
    </row>
    <row r="34">
      <c r="B34" s="3" t="n"/>
      <c r="G34" s="2" t="n"/>
      <c r="H34" s="2" t="n"/>
      <c r="I34" s="26">
        <f>DATE(YEAR(Setup!$C$4),MONTH(Setup!$C$4),DAY(Setup!$C$4)+((D34-1)*7)+(E34-WEEKDAY(DATE(YEAR(Setup!$C$4),MONTH(Setup!$C$4),DAY(Setup!$C$4)),1)))</f>
        <v/>
      </c>
      <c r="J34" s="26">
        <f>I34+3</f>
        <v/>
      </c>
      <c r="K34" s="26">
        <f>(I34 + (7 - WEEKDAY(I34,1))) + 1</f>
        <v/>
      </c>
      <c r="L34" s="23">
        <f>F34*G34</f>
        <v/>
      </c>
    </row>
    <row r="35">
      <c r="G35" s="2" t="n"/>
      <c r="H35" s="2" t="n"/>
      <c r="I35" s="26">
        <f>DATE(YEAR(Setup!$C$4),MONTH(Setup!$C$4),DAY(Setup!$C$4)+((D35-1)*7)+(E35-WEEKDAY(DATE(YEAR(Setup!$C$4),MONTH(Setup!$C$4),DAY(Setup!$C$4)),1)))</f>
        <v/>
      </c>
      <c r="J35" s="26">
        <f>I35+3</f>
        <v/>
      </c>
      <c r="K35" s="26">
        <f>(I35 + (7 - WEEKDAY(I35,1))) + 1</f>
        <v/>
      </c>
      <c r="L35" s="23">
        <f>F35*G35</f>
        <v/>
      </c>
    </row>
    <row r="36">
      <c r="G36" s="2" t="n"/>
      <c r="H36" s="2" t="n"/>
      <c r="I36" s="26">
        <f>DATE(YEAR(Setup!$C$4),MONTH(Setup!$C$4),DAY(Setup!$C$4)+((D36-1)*7)+(E36-WEEKDAY(DATE(YEAR(Setup!$C$4),MONTH(Setup!$C$4),DAY(Setup!$C$4)),1)))</f>
        <v/>
      </c>
      <c r="J36" s="26">
        <f>I36+3</f>
        <v/>
      </c>
      <c r="K36" s="26">
        <f>(I36 + (7 - WEEKDAY(I36,1))) + 1</f>
        <v/>
      </c>
      <c r="L36" s="23">
        <f>F36*G36</f>
        <v/>
      </c>
    </row>
    <row r="37">
      <c r="G37" s="2" t="n"/>
      <c r="H37" s="2" t="n"/>
      <c r="I37" s="26">
        <f>DATE(YEAR(Setup!$C$4),MONTH(Setup!$C$4),DAY(Setup!$C$4)+((D37-1)*7)+(E37-WEEKDAY(DATE(YEAR(Setup!$C$4),MONTH(Setup!$C$4),DAY(Setup!$C$4)),1)))</f>
        <v/>
      </c>
      <c r="J37" s="26">
        <f>I37+3</f>
        <v/>
      </c>
      <c r="K37" s="26">
        <f>(I37 + (7 - WEEKDAY(I37,1))) + 1</f>
        <v/>
      </c>
      <c r="L37" s="23">
        <f>F37*G37</f>
        <v/>
      </c>
    </row>
    <row r="38">
      <c r="G38" s="2" t="n"/>
      <c r="H38" s="2" t="n"/>
      <c r="I38" s="26">
        <f>DATE(YEAR(Setup!$C$4),MONTH(Setup!$C$4),DAY(Setup!$C$4)+((D38-1)*7)+(E38-WEEKDAY(DATE(YEAR(Setup!$C$4),MONTH(Setup!$C$4),DAY(Setup!$C$4)),1)))</f>
        <v/>
      </c>
      <c r="J38" s="26">
        <f>I38+3</f>
        <v/>
      </c>
      <c r="K38" s="26">
        <f>(I38 + (7 - WEEKDAY(I38,1))) + 1</f>
        <v/>
      </c>
      <c r="L38" s="23">
        <f>F38*G38</f>
        <v/>
      </c>
    </row>
    <row r="39">
      <c r="G39" s="2" t="n"/>
      <c r="H39" s="2" t="n"/>
      <c r="I39" s="26">
        <f>DATE(YEAR(Setup!$C$4),MONTH(Setup!$C$4),DAY(Setup!$C$4)+((D39-1)*7)+(E39-WEEKDAY(DATE(YEAR(Setup!$C$4),MONTH(Setup!$C$4),DAY(Setup!$C$4)),1)))</f>
        <v/>
      </c>
      <c r="J39" s="26">
        <f>I39+3</f>
        <v/>
      </c>
      <c r="K39" s="26">
        <f>(I39 + (7 - WEEKDAY(I39,1))) + 1</f>
        <v/>
      </c>
      <c r="L39" s="23">
        <f>F39*G39</f>
        <v/>
      </c>
    </row>
    <row r="40">
      <c r="G40" s="2" t="n"/>
      <c r="H40" s="2" t="n"/>
      <c r="I40" s="26">
        <f>DATE(YEAR(Setup!$C$4),MONTH(Setup!$C$4),DAY(Setup!$C$4)+((D40-1)*7)+(E40-WEEKDAY(DATE(YEAR(Setup!$C$4),MONTH(Setup!$C$4),DAY(Setup!$C$4)),1)))</f>
        <v/>
      </c>
      <c r="J40" s="26">
        <f>I40+3</f>
        <v/>
      </c>
      <c r="K40" s="26">
        <f>(I40 + (7 - WEEKDAY(I40,1))) + 1</f>
        <v/>
      </c>
      <c r="L40" s="23">
        <f>F40*G40</f>
        <v/>
      </c>
    </row>
    <row r="41">
      <c r="G41" s="2" t="n"/>
      <c r="H41" s="2" t="n"/>
      <c r="I41" s="26">
        <f>DATE(YEAR(Setup!$C$4),MONTH(Setup!$C$4),DAY(Setup!$C$4)+((D41-1)*7)+(E41-WEEKDAY(DATE(YEAR(Setup!$C$4),MONTH(Setup!$C$4),DAY(Setup!$C$4)),1)))</f>
        <v/>
      </c>
      <c r="J41" s="26">
        <f>I41+3</f>
        <v/>
      </c>
      <c r="K41" s="26">
        <f>(I41 + (7 - WEEKDAY(I41,1))) + 1</f>
        <v/>
      </c>
      <c r="L41" s="23">
        <f>F41*G41</f>
        <v/>
      </c>
    </row>
    <row r="42">
      <c r="G42" s="2" t="n"/>
      <c r="H42" s="2" t="n"/>
      <c r="I42" s="26">
        <f>DATE(YEAR(Setup!$C$4),MONTH(Setup!$C$4),DAY(Setup!$C$4)+((D42-1)*7)+(E42-WEEKDAY(DATE(YEAR(Setup!$C$4),MONTH(Setup!$C$4),DAY(Setup!$C$4)),1)))</f>
        <v/>
      </c>
      <c r="J42" s="26">
        <f>I42+3</f>
        <v/>
      </c>
      <c r="K42" s="26">
        <f>(I42 + (7 - WEEKDAY(I42,1))) + 1</f>
        <v/>
      </c>
      <c r="L42" s="23">
        <f>F42*G42</f>
        <v/>
      </c>
    </row>
    <row r="43">
      <c r="G43" s="2" t="n"/>
      <c r="H43" s="2" t="n"/>
      <c r="I43" s="26">
        <f>DATE(YEAR(Setup!$C$4),MONTH(Setup!$C$4),DAY(Setup!$C$4)+((D43-1)*7)+(E43-WEEKDAY(DATE(YEAR(Setup!$C$4),MONTH(Setup!$C$4),DAY(Setup!$C$4)),1)))</f>
        <v/>
      </c>
      <c r="J43" s="26">
        <f>I43+3</f>
        <v/>
      </c>
      <c r="K43" s="26">
        <f>(I43 + (7 - WEEKDAY(I43,1))) + 1</f>
        <v/>
      </c>
      <c r="L43" s="23">
        <f>F43*G43</f>
        <v/>
      </c>
    </row>
    <row r="44">
      <c r="G44" s="2" t="n"/>
      <c r="H44" s="2" t="n"/>
      <c r="I44" s="26">
        <f>DATE(YEAR(Setup!$C$4),MONTH(Setup!$C$4),DAY(Setup!$C$4)+((D44-1)*7)+(E44-WEEKDAY(DATE(YEAR(Setup!$C$4),MONTH(Setup!$C$4),DAY(Setup!$C$4)),1)))</f>
        <v/>
      </c>
      <c r="J44" s="26">
        <f>I44+3</f>
        <v/>
      </c>
      <c r="K44" s="26">
        <f>(I44 + (7 - WEEKDAY(I44,1))) + 1</f>
        <v/>
      </c>
      <c r="L44" s="23">
        <f>F44*G44</f>
        <v/>
      </c>
    </row>
    <row r="45">
      <c r="G45" s="2" t="n"/>
      <c r="H45" s="2" t="n"/>
      <c r="I45" s="26">
        <f>DATE(YEAR(Setup!$C$4),MONTH(Setup!$C$4),DAY(Setup!$C$4)+((D45-1)*7)+(E45-WEEKDAY(DATE(YEAR(Setup!$C$4),MONTH(Setup!$C$4),DAY(Setup!$C$4)),1)))</f>
        <v/>
      </c>
      <c r="J45" s="26">
        <f>I45+3</f>
        <v/>
      </c>
      <c r="K45" s="26">
        <f>(I45 + (7 - WEEKDAY(I45,1))) + 1</f>
        <v/>
      </c>
      <c r="L45" s="23">
        <f>F45*G45</f>
        <v/>
      </c>
    </row>
    <row r="46">
      <c r="G46" s="2" t="n"/>
      <c r="H46" s="2" t="n"/>
      <c r="I46" s="26">
        <f>DATE(YEAR(Setup!$C$4),MONTH(Setup!$C$4),DAY(Setup!$C$4)+((D46-1)*7)+(E46-WEEKDAY(DATE(YEAR(Setup!$C$4),MONTH(Setup!$C$4),DAY(Setup!$C$4)),1)))</f>
        <v/>
      </c>
      <c r="J46" s="26">
        <f>I46+3</f>
        <v/>
      </c>
      <c r="K46" s="26">
        <f>(I46 + (7 - WEEKDAY(I46,1))) + 1</f>
        <v/>
      </c>
      <c r="L46" s="23">
        <f>F46*G46</f>
        <v/>
      </c>
    </row>
    <row r="47">
      <c r="G47" s="2" t="n"/>
      <c r="H47" s="2" t="n"/>
      <c r="I47" s="26">
        <f>DATE(YEAR(Setup!$C$4),MONTH(Setup!$C$4),DAY(Setup!$C$4)+((D47-1)*7)+(E47-WEEKDAY(DATE(YEAR(Setup!$C$4),MONTH(Setup!$C$4),DAY(Setup!$C$4)),1)))</f>
        <v/>
      </c>
      <c r="J47" s="26">
        <f>I47+3</f>
        <v/>
      </c>
      <c r="K47" s="26">
        <f>(I47 + (7 - WEEKDAY(I47,1))) + 1</f>
        <v/>
      </c>
      <c r="L47" s="23">
        <f>F47*G47</f>
        <v/>
      </c>
    </row>
    <row r="48">
      <c r="G48" s="2" t="n"/>
      <c r="H48" s="2" t="n"/>
      <c r="I48" s="26">
        <f>DATE(YEAR(Setup!$C$4),MONTH(Setup!$C$4),DAY(Setup!$C$4)+((D48-1)*7)+(E48-WEEKDAY(DATE(YEAR(Setup!$C$4),MONTH(Setup!$C$4),DAY(Setup!$C$4)),1)))</f>
        <v/>
      </c>
      <c r="J48" s="26">
        <f>I48+3</f>
        <v/>
      </c>
      <c r="K48" s="26">
        <f>(I48 + (7 - WEEKDAY(I48,1))) + 1</f>
        <v/>
      </c>
      <c r="L48" s="23">
        <f>F48*G48</f>
        <v/>
      </c>
    </row>
    <row r="49">
      <c r="G49" s="2" t="n"/>
      <c r="H49" s="2" t="n"/>
      <c r="I49" s="26">
        <f>DATE(YEAR(Setup!$C$4),MONTH(Setup!$C$4),DAY(Setup!$C$4)+((D49-1)*7)+(E49-WEEKDAY(DATE(YEAR(Setup!$C$4),MONTH(Setup!$C$4),DAY(Setup!$C$4)),1)))</f>
        <v/>
      </c>
      <c r="J49" s="26">
        <f>I49+3</f>
        <v/>
      </c>
      <c r="K49" s="26">
        <f>(I49 + (7 - WEEKDAY(I49,1))) + 1</f>
        <v/>
      </c>
      <c r="L49" s="23">
        <f>F49*G49</f>
        <v/>
      </c>
    </row>
    <row r="50">
      <c r="G50" s="2" t="n"/>
      <c r="H50" s="2" t="n"/>
      <c r="I50" s="26">
        <f>DATE(YEAR(Setup!$C$4),MONTH(Setup!$C$4),DAY(Setup!$C$4)+((D50-1)*7)+(E50-WEEKDAY(DATE(YEAR(Setup!$C$4),MONTH(Setup!$C$4),DAY(Setup!$C$4)),1)))</f>
        <v/>
      </c>
      <c r="J50" s="26">
        <f>I50+3</f>
        <v/>
      </c>
      <c r="K50" s="26">
        <f>(I50 + (7 - WEEKDAY(I50,1))) + 1</f>
        <v/>
      </c>
      <c r="L50" s="23">
        <f>F50*G50</f>
        <v/>
      </c>
    </row>
    <row r="51">
      <c r="G51" s="2" t="n"/>
      <c r="H51" s="2" t="n"/>
      <c r="I51" s="26">
        <f>DATE(YEAR(Setup!$C$4),MONTH(Setup!$C$4),DAY(Setup!$C$4)+((D51-1)*7)+(E51-WEEKDAY(DATE(YEAR(Setup!$C$4),MONTH(Setup!$C$4),DAY(Setup!$C$4)),1)))</f>
        <v/>
      </c>
      <c r="J51" s="26">
        <f>I51+3</f>
        <v/>
      </c>
      <c r="K51" s="26">
        <f>(I51 + (7 - WEEKDAY(I51,1))) + 1</f>
        <v/>
      </c>
      <c r="L51" s="23">
        <f>F51*G51</f>
        <v/>
      </c>
    </row>
    <row r="52">
      <c r="G52" s="2" t="n"/>
      <c r="H52" s="2" t="n"/>
      <c r="I52" s="26">
        <f>DATE(YEAR(Setup!$C$4),MONTH(Setup!$C$4),DAY(Setup!$C$4)+((D52-1)*7)+(E52-WEEKDAY(DATE(YEAR(Setup!$C$4),MONTH(Setup!$C$4),DAY(Setup!$C$4)),1)))</f>
        <v/>
      </c>
      <c r="J52" s="26">
        <f>I52+3</f>
        <v/>
      </c>
      <c r="K52" s="26">
        <f>(I52 + (7 - WEEKDAY(I52,1))) + 1</f>
        <v/>
      </c>
      <c r="L52" s="23">
        <f>F52*G52</f>
        <v/>
      </c>
    </row>
    <row r="53">
      <c r="G53" s="2" t="n"/>
      <c r="H53" s="2" t="n"/>
      <c r="I53" s="26">
        <f>DATE(YEAR(Setup!$C$4),MONTH(Setup!$C$4),DAY(Setup!$C$4)+((D53-1)*7)+(E53-WEEKDAY(DATE(YEAR(Setup!$C$4),MONTH(Setup!$C$4),DAY(Setup!$C$4)),1)))</f>
        <v/>
      </c>
      <c r="J53" s="26">
        <f>I53+3</f>
        <v/>
      </c>
      <c r="K53" s="26">
        <f>(I53 + (7 - WEEKDAY(I53,1))) + 1</f>
        <v/>
      </c>
      <c r="L53" s="23">
        <f>F53*G53</f>
        <v/>
      </c>
    </row>
    <row r="54">
      <c r="G54" s="2" t="n"/>
      <c r="H54" s="2" t="n"/>
      <c r="I54" s="26">
        <f>DATE(YEAR(Setup!$C$4),MONTH(Setup!$C$4),DAY(Setup!$C$4)+((D54-1)*7)+(E54-WEEKDAY(DATE(YEAR(Setup!$C$4),MONTH(Setup!$C$4),DAY(Setup!$C$4)),1)))</f>
        <v/>
      </c>
      <c r="J54" s="26">
        <f>I54+3</f>
        <v/>
      </c>
      <c r="K54" s="26">
        <f>(I54 + (7 - WEEKDAY(I54,1))) + 1</f>
        <v/>
      </c>
      <c r="L54" s="23">
        <f>F54*G54</f>
        <v/>
      </c>
    </row>
    <row r="55">
      <c r="G55" s="2" t="n"/>
      <c r="H55" s="2" t="n"/>
      <c r="I55" s="26">
        <f>DATE(YEAR(Setup!$C$4),MONTH(Setup!$C$4),DAY(Setup!$C$4)+((D55-1)*7)+(E55-WEEKDAY(DATE(YEAR(Setup!$C$4),MONTH(Setup!$C$4),DAY(Setup!$C$4)),1)))</f>
        <v/>
      </c>
      <c r="J55" s="26">
        <f>I55+3</f>
        <v/>
      </c>
      <c r="K55" s="26">
        <f>(I55 + (7 - WEEKDAY(I55,1))) + 1</f>
        <v/>
      </c>
      <c r="L55" s="23">
        <f>F55*G55</f>
        <v/>
      </c>
    </row>
    <row r="56">
      <c r="G56" s="2" t="n"/>
      <c r="H56" s="2" t="n"/>
      <c r="I56" s="26">
        <f>DATE(YEAR(Setup!$C$4),MONTH(Setup!$C$4),DAY(Setup!$C$4)+((D56-1)*7)+(E56-WEEKDAY(DATE(YEAR(Setup!$C$4),MONTH(Setup!$C$4),DAY(Setup!$C$4)),1)))</f>
        <v/>
      </c>
      <c r="J56" s="26">
        <f>I56+3</f>
        <v/>
      </c>
      <c r="K56" s="26">
        <f>(I56 + (7 - WEEKDAY(I56,1))) + 1</f>
        <v/>
      </c>
      <c r="L56" s="23">
        <f>F56*G56</f>
        <v/>
      </c>
    </row>
    <row r="57">
      <c r="G57" s="2" t="n"/>
      <c r="H57" s="2" t="n"/>
      <c r="I57" s="26">
        <f>DATE(YEAR(Setup!$C$4),MONTH(Setup!$C$4),DAY(Setup!$C$4)+((D57-1)*7)+(E57-WEEKDAY(DATE(YEAR(Setup!$C$4),MONTH(Setup!$C$4),DAY(Setup!$C$4)),1)))</f>
        <v/>
      </c>
      <c r="J57" s="26">
        <f>I57+3</f>
        <v/>
      </c>
      <c r="K57" s="26">
        <f>(I57 + (7 - WEEKDAY(I57,1))) + 1</f>
        <v/>
      </c>
      <c r="L57" s="23">
        <f>F57*G57</f>
        <v/>
      </c>
    </row>
    <row r="58">
      <c r="G58" s="2" t="n"/>
      <c r="H58" s="2" t="n"/>
      <c r="I58" s="26">
        <f>DATE(YEAR(Setup!$C$4),MONTH(Setup!$C$4),DAY(Setup!$C$4)+((D58-1)*7)+(E58-WEEKDAY(DATE(YEAR(Setup!$C$4),MONTH(Setup!$C$4),DAY(Setup!$C$4)),1)))</f>
        <v/>
      </c>
      <c r="J58" s="26">
        <f>I58+3</f>
        <v/>
      </c>
      <c r="K58" s="26">
        <f>(I58 + (7 - WEEKDAY(I58,1))) + 1</f>
        <v/>
      </c>
      <c r="L58" s="23">
        <f>F58*G58</f>
        <v/>
      </c>
    </row>
    <row r="59">
      <c r="G59" s="2" t="n"/>
      <c r="H59" s="2" t="n"/>
      <c r="I59" s="26">
        <f>DATE(YEAR(Setup!$C$4),MONTH(Setup!$C$4),DAY(Setup!$C$4)+((D59-1)*7)+(E59-WEEKDAY(DATE(YEAR(Setup!$C$4),MONTH(Setup!$C$4),DAY(Setup!$C$4)),1)))</f>
        <v/>
      </c>
      <c r="J59" s="26">
        <f>I59+3</f>
        <v/>
      </c>
      <c r="K59" s="26">
        <f>(I59 + (7 - WEEKDAY(I59,1))) + 1</f>
        <v/>
      </c>
      <c r="L59" s="23">
        <f>F59*G59</f>
        <v/>
      </c>
    </row>
    <row r="60">
      <c r="G60" s="2" t="n"/>
      <c r="H60" s="2" t="n"/>
      <c r="I60" s="26">
        <f>DATE(YEAR(Setup!$C$4),MONTH(Setup!$C$4),DAY(Setup!$C$4)+((D60-1)*7)+(E60-WEEKDAY(DATE(YEAR(Setup!$C$4),MONTH(Setup!$C$4),DAY(Setup!$C$4)),1)))</f>
        <v/>
      </c>
      <c r="J60" s="26">
        <f>I60+3</f>
        <v/>
      </c>
      <c r="K60" s="26">
        <f>(I60 + (7 - WEEKDAY(I60,1))) + 1</f>
        <v/>
      </c>
      <c r="L60" s="23">
        <f>F60*G60</f>
        <v/>
      </c>
    </row>
    <row r="61">
      <c r="G61" s="2" t="n"/>
      <c r="H61" s="2" t="n"/>
      <c r="I61" s="26">
        <f>DATE(YEAR(Setup!$C$4),MONTH(Setup!$C$4),DAY(Setup!$C$4)+((D61-1)*7)+(E61-WEEKDAY(DATE(YEAR(Setup!$C$4),MONTH(Setup!$C$4),DAY(Setup!$C$4)),1)))</f>
        <v/>
      </c>
      <c r="J61" s="26">
        <f>I61+3</f>
        <v/>
      </c>
      <c r="K61" s="26">
        <f>(I61 + (7 - WEEKDAY(I61,1))) + 1</f>
        <v/>
      </c>
      <c r="L61" s="23">
        <f>F61*G61</f>
        <v/>
      </c>
    </row>
    <row r="62">
      <c r="G62" s="2" t="n"/>
      <c r="H62" s="2" t="n"/>
      <c r="I62" s="26">
        <f>DATE(YEAR(Setup!$C$4),MONTH(Setup!$C$4),DAY(Setup!$C$4)+((D62-1)*7)+(E62-WEEKDAY(DATE(YEAR(Setup!$C$4),MONTH(Setup!$C$4),DAY(Setup!$C$4)),1)))</f>
        <v/>
      </c>
      <c r="J62" s="26">
        <f>I62+3</f>
        <v/>
      </c>
      <c r="K62" s="26">
        <f>(I62 + (7 - WEEKDAY(I62,1))) + 1</f>
        <v/>
      </c>
      <c r="L62" s="23">
        <f>F62*G62</f>
        <v/>
      </c>
    </row>
    <row r="63">
      <c r="G63" s="2" t="n"/>
      <c r="H63" s="2" t="n"/>
      <c r="I63" s="26">
        <f>DATE(YEAR(Setup!$C$4),MONTH(Setup!$C$4),DAY(Setup!$C$4)+((D63-1)*7)+(E63-WEEKDAY(DATE(YEAR(Setup!$C$4),MONTH(Setup!$C$4),DAY(Setup!$C$4)),1)))</f>
        <v/>
      </c>
      <c r="J63" s="26">
        <f>I63+3</f>
        <v/>
      </c>
      <c r="K63" s="26">
        <f>(I63 + (7 - WEEKDAY(I63,1))) + 1</f>
        <v/>
      </c>
      <c r="L63" s="23">
        <f>F63*G63</f>
        <v/>
      </c>
    </row>
    <row r="64">
      <c r="G64" s="2" t="n"/>
      <c r="H64" s="2" t="n"/>
      <c r="I64" s="26">
        <f>DATE(YEAR(Setup!$C$4),MONTH(Setup!$C$4),DAY(Setup!$C$4)+((D64-1)*7)+(E64-WEEKDAY(DATE(YEAR(Setup!$C$4),MONTH(Setup!$C$4),DAY(Setup!$C$4)),1)))</f>
        <v/>
      </c>
      <c r="J64" s="26">
        <f>I64+3</f>
        <v/>
      </c>
      <c r="K64" s="26">
        <f>(I64 + (7 - WEEKDAY(I64,1))) + 1</f>
        <v/>
      </c>
      <c r="L64" s="23">
        <f>F64*G64</f>
        <v/>
      </c>
    </row>
    <row r="65">
      <c r="G65" s="2" t="n"/>
      <c r="H65" s="2" t="n"/>
      <c r="I65" s="26">
        <f>DATE(YEAR(Setup!$C$4),MONTH(Setup!$C$4),DAY(Setup!$C$4)+((D65-1)*7)+(E65-WEEKDAY(DATE(YEAR(Setup!$C$4),MONTH(Setup!$C$4),DAY(Setup!$C$4)),1)))</f>
        <v/>
      </c>
      <c r="J65" s="26">
        <f>I65+3</f>
        <v/>
      </c>
      <c r="K65" s="26">
        <f>(I65 + (7 - WEEKDAY(I65,1))) + 1</f>
        <v/>
      </c>
      <c r="L65" s="23">
        <f>F65*G65</f>
        <v/>
      </c>
    </row>
    <row r="66">
      <c r="G66" s="2" t="n"/>
      <c r="H66" s="2" t="n"/>
      <c r="I66" s="26">
        <f>DATE(YEAR(Setup!$C$4),MONTH(Setup!$C$4),DAY(Setup!$C$4)+((D66-1)*7)+(E66-WEEKDAY(DATE(YEAR(Setup!$C$4),MONTH(Setup!$C$4),DAY(Setup!$C$4)),1)))</f>
        <v/>
      </c>
      <c r="J66" s="26">
        <f>I66+3</f>
        <v/>
      </c>
      <c r="K66" s="26">
        <f>(I66 + (7 - WEEKDAY(I66,1))) + 1</f>
        <v/>
      </c>
      <c r="L66" s="23">
        <f>F66*G66</f>
        <v/>
      </c>
    </row>
    <row r="67">
      <c r="G67" s="2" t="n"/>
      <c r="H67" s="2" t="n"/>
      <c r="I67" s="26">
        <f>DATE(YEAR(Setup!$C$4),MONTH(Setup!$C$4),DAY(Setup!$C$4)+((D67-1)*7)+(E67-WEEKDAY(DATE(YEAR(Setup!$C$4),MONTH(Setup!$C$4),DAY(Setup!$C$4)),1)))</f>
        <v/>
      </c>
      <c r="J67" s="26">
        <f>I67+3</f>
        <v/>
      </c>
      <c r="K67" s="26">
        <f>(I67 + (7 - WEEKDAY(I67,1))) + 1</f>
        <v/>
      </c>
      <c r="L67" s="23">
        <f>F67*G67</f>
        <v/>
      </c>
    </row>
    <row r="68">
      <c r="G68" s="2" t="n"/>
      <c r="H68" s="2" t="n"/>
      <c r="I68" s="26">
        <f>DATE(YEAR(Setup!$C$4),MONTH(Setup!$C$4),DAY(Setup!$C$4)+((D68-1)*7)+(E68-WEEKDAY(DATE(YEAR(Setup!$C$4),MONTH(Setup!$C$4),DAY(Setup!$C$4)),1)))</f>
        <v/>
      </c>
      <c r="J68" s="26">
        <f>I68+3</f>
        <v/>
      </c>
      <c r="K68" s="26">
        <f>(I68 + (7 - WEEKDAY(I68,1))) + 1</f>
        <v/>
      </c>
      <c r="L68" s="23">
        <f>F68*G68</f>
        <v/>
      </c>
    </row>
    <row r="69">
      <c r="G69" s="2" t="n"/>
      <c r="H69" s="2" t="n"/>
      <c r="I69" s="26">
        <f>DATE(YEAR(Setup!$C$4),MONTH(Setup!$C$4),DAY(Setup!$C$4)+((D69-1)*7)+(E69-WEEKDAY(DATE(YEAR(Setup!$C$4),MONTH(Setup!$C$4),DAY(Setup!$C$4)),1)))</f>
        <v/>
      </c>
      <c r="J69" s="26">
        <f>I69+3</f>
        <v/>
      </c>
      <c r="K69" s="26">
        <f>(I69 + (7 - WEEKDAY(I69,1))) + 1</f>
        <v/>
      </c>
      <c r="L69" s="23">
        <f>F69*G69</f>
        <v/>
      </c>
    </row>
    <row r="70">
      <c r="G70" s="2" t="n"/>
      <c r="H70" s="2" t="n"/>
      <c r="I70" s="26">
        <f>DATE(YEAR(Setup!$C$4),MONTH(Setup!$C$4),DAY(Setup!$C$4)+((D70-1)*7)+(E70-WEEKDAY(DATE(YEAR(Setup!$C$4),MONTH(Setup!$C$4),DAY(Setup!$C$4)),1)))</f>
        <v/>
      </c>
      <c r="J70" s="26">
        <f>I70+3</f>
        <v/>
      </c>
      <c r="K70" s="26">
        <f>(I70 + (7 - WEEKDAY(I70,1))) + 1</f>
        <v/>
      </c>
      <c r="L70" s="23">
        <f>F70*G70</f>
        <v/>
      </c>
    </row>
    <row r="71">
      <c r="G71" s="2" t="n"/>
      <c r="H71" s="2" t="n"/>
      <c r="I71" s="26">
        <f>DATE(YEAR(Setup!$C$4),MONTH(Setup!$C$4),DAY(Setup!$C$4)+((D71-1)*7)+(E71-WEEKDAY(DATE(YEAR(Setup!$C$4),MONTH(Setup!$C$4),DAY(Setup!$C$4)),1)))</f>
        <v/>
      </c>
      <c r="J71" s="26">
        <f>I71+3</f>
        <v/>
      </c>
      <c r="K71" s="26">
        <f>(I71 + (7 - WEEKDAY(I71,1))) + 1</f>
        <v/>
      </c>
      <c r="L71" s="23">
        <f>F71*G71</f>
        <v/>
      </c>
    </row>
    <row r="72">
      <c r="G72" s="2" t="n"/>
      <c r="H72" s="2" t="n"/>
      <c r="I72" s="26">
        <f>DATE(YEAR(Setup!$C$4),MONTH(Setup!$C$4),DAY(Setup!$C$4)+((D72-1)*7)+(E72-WEEKDAY(DATE(YEAR(Setup!$C$4),MONTH(Setup!$C$4),DAY(Setup!$C$4)),1)))</f>
        <v/>
      </c>
      <c r="J72" s="26">
        <f>I72+3</f>
        <v/>
      </c>
      <c r="K72" s="26">
        <f>(I72 + (7 - WEEKDAY(I72,1))) + 1</f>
        <v/>
      </c>
      <c r="L72" s="23">
        <f>F72*G72</f>
        <v/>
      </c>
    </row>
    <row r="73">
      <c r="G73" s="2" t="n"/>
      <c r="H73" s="2" t="n"/>
      <c r="I73" s="26">
        <f>DATE(YEAR(Setup!$C$4),MONTH(Setup!$C$4),DAY(Setup!$C$4)+((D73-1)*7)+(E73-WEEKDAY(DATE(YEAR(Setup!$C$4),MONTH(Setup!$C$4),DAY(Setup!$C$4)),1)))</f>
        <v/>
      </c>
      <c r="J73" s="26">
        <f>I73+3</f>
        <v/>
      </c>
      <c r="K73" s="26">
        <f>(I73 + (7 - WEEKDAY(I73,1))) + 1</f>
        <v/>
      </c>
      <c r="L73" s="23">
        <f>F73*G73</f>
        <v/>
      </c>
    </row>
    <row r="74">
      <c r="G74" s="2" t="n"/>
      <c r="H74" s="2" t="n"/>
      <c r="I74" s="26">
        <f>DATE(YEAR(Setup!$C$4),MONTH(Setup!$C$4),DAY(Setup!$C$4)+((D74-1)*7)+(E74-WEEKDAY(DATE(YEAR(Setup!$C$4),MONTH(Setup!$C$4),DAY(Setup!$C$4)),1)))</f>
        <v/>
      </c>
      <c r="J74" s="26">
        <f>I74+3</f>
        <v/>
      </c>
      <c r="K74" s="26">
        <f>(I74 + (7 - WEEKDAY(I74,1))) + 1</f>
        <v/>
      </c>
      <c r="L74" s="23">
        <f>F74*G74</f>
        <v/>
      </c>
    </row>
    <row r="75">
      <c r="G75" s="2" t="n"/>
      <c r="H75" s="2" t="n"/>
      <c r="I75" s="26">
        <f>DATE(YEAR(Setup!$C$4),MONTH(Setup!$C$4),DAY(Setup!$C$4)+((D75-1)*7)+(E75-WEEKDAY(DATE(YEAR(Setup!$C$4),MONTH(Setup!$C$4),DAY(Setup!$C$4)),1)))</f>
        <v/>
      </c>
      <c r="J75" s="26">
        <f>I75+3</f>
        <v/>
      </c>
      <c r="K75" s="26">
        <f>(I75 + (7 - WEEKDAY(I75,1))) + 1</f>
        <v/>
      </c>
      <c r="L75" s="23">
        <f>F75*G75</f>
        <v/>
      </c>
    </row>
    <row r="76">
      <c r="G76" s="2" t="n"/>
      <c r="H76" s="2" t="n"/>
      <c r="I76" s="26">
        <f>DATE(YEAR(Setup!$C$4),MONTH(Setup!$C$4),DAY(Setup!$C$4)+((D76-1)*7)+(E76-WEEKDAY(DATE(YEAR(Setup!$C$4),MONTH(Setup!$C$4),DAY(Setup!$C$4)),1)))</f>
        <v/>
      </c>
      <c r="J76" s="26">
        <f>I76+3</f>
        <v/>
      </c>
      <c r="K76" s="26">
        <f>(I76 + (7 - WEEKDAY(I76,1))) + 1</f>
        <v/>
      </c>
      <c r="L76" s="23">
        <f>F76*G76</f>
        <v/>
      </c>
    </row>
    <row r="77">
      <c r="G77" s="2" t="n"/>
      <c r="H77" s="2" t="n"/>
      <c r="I77" s="26">
        <f>DATE(YEAR(Setup!$C$4),MONTH(Setup!$C$4),DAY(Setup!$C$4)+((D77-1)*7)+(E77-WEEKDAY(DATE(YEAR(Setup!$C$4),MONTH(Setup!$C$4),DAY(Setup!$C$4)),1)))</f>
        <v/>
      </c>
      <c r="J77" s="26">
        <f>I77+3</f>
        <v/>
      </c>
      <c r="K77" s="26">
        <f>(I77 + (7 - WEEKDAY(I77,1))) + 1</f>
        <v/>
      </c>
      <c r="L77" s="23">
        <f>F77*G77</f>
        <v/>
      </c>
    </row>
    <row r="78">
      <c r="G78" s="2" t="n"/>
      <c r="H78" s="2" t="n"/>
      <c r="I78" s="26">
        <f>DATE(YEAR(Setup!$C$4),MONTH(Setup!$C$4),DAY(Setup!$C$4)+((D78-1)*7)+(E78-WEEKDAY(DATE(YEAR(Setup!$C$4),MONTH(Setup!$C$4),DAY(Setup!$C$4)),1)))</f>
        <v/>
      </c>
      <c r="J78" s="26">
        <f>I78+3</f>
        <v/>
      </c>
      <c r="K78" s="26">
        <f>(I78 + (7 - WEEKDAY(I78,1))) + 1</f>
        <v/>
      </c>
      <c r="L78" s="23">
        <f>F78*G78</f>
        <v/>
      </c>
    </row>
    <row r="79">
      <c r="G79" s="2" t="n"/>
      <c r="H79" s="2" t="n"/>
      <c r="I79" s="26">
        <f>DATE(YEAR(Setup!$C$4),MONTH(Setup!$C$4),DAY(Setup!$C$4)+((D79-1)*7)+(E79-WEEKDAY(DATE(YEAR(Setup!$C$4),MONTH(Setup!$C$4),DAY(Setup!$C$4)),1)))</f>
        <v/>
      </c>
      <c r="J79" s="26">
        <f>I79+3</f>
        <v/>
      </c>
      <c r="K79" s="26">
        <f>(I79 + (7 - WEEKDAY(I79,1))) + 1</f>
        <v/>
      </c>
      <c r="L79" s="23">
        <f>F79*G79</f>
        <v/>
      </c>
    </row>
    <row r="80">
      <c r="G80" s="2" t="n"/>
      <c r="H80" s="2" t="n"/>
      <c r="I80" s="26">
        <f>DATE(YEAR(Setup!$C$4),MONTH(Setup!$C$4),DAY(Setup!$C$4)+((D80-1)*7)+(E80-WEEKDAY(DATE(YEAR(Setup!$C$4),MONTH(Setup!$C$4),DAY(Setup!$C$4)),1)))</f>
        <v/>
      </c>
      <c r="J80" s="26">
        <f>I80+3</f>
        <v/>
      </c>
      <c r="K80" s="26">
        <f>(I80 + (7 - WEEKDAY(I80,1))) + 1</f>
        <v/>
      </c>
      <c r="L80" s="23">
        <f>F80*G80</f>
        <v/>
      </c>
    </row>
  </sheetData>
  <sheetProtection selectLockedCells="1" selectUnlockedCells="0" algorithmName="SHA-512" sheet="1" objects="0" insertRows="0" insertHyperlinks="1" autoFilter="0" scenarios="0" formatColumns="1" deleteColumns="1" insertColumns="1" pivotTables="1" deleteRows="0" formatCells="0" saltValue="JVQmrVzlgFtoQNnQaqCQKQ==" formatRows="0" sort="0" spinCount="100000" hashValue="xFCNLw8FhFQ/xpHN/6PiWIoTinBIuSadqJiORLl6DkHFnbwJmp20Wi5a8PtT56exlXFFRPVgD4paAaCKnGxjzw=="/>
  <autoFilter ref="A1:N80">
    <sortState ref="A2:N80">
      <sortCondition ref="D1:D80"/>
    </sortState>
  </autoFilter>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9.xml><?xml version="1.0" encoding="utf-8"?>
<worksheet xmlns="http://schemas.openxmlformats.org/spreadsheetml/2006/main">
  <sheetPr codeName="Sheet7">
    <tabColor rgb="FF0070C0"/>
    <outlinePr summaryBelow="1" summaryRight="1"/>
    <pageSetUpPr/>
  </sheetPr>
  <dimension ref="A1:N85"/>
  <sheetViews>
    <sheetView workbookViewId="0">
      <pane xSplit="3" topLeftCell="G1" activePane="topRight" state="frozen"/>
      <selection pane="topRight" activeCell="N3" sqref="N3"/>
    </sheetView>
  </sheetViews>
  <sheetFormatPr baseColWidth="8" defaultColWidth="8.85546875" defaultRowHeight="15"/>
  <cols>
    <col width="13" customWidth="1" style="1" min="1" max="1"/>
    <col width="24.28515625" customWidth="1" style="1" min="2" max="2"/>
    <col width="31.85546875" customWidth="1" style="1" min="3" max="3"/>
    <col width="14.42578125" customWidth="1" style="1" min="4" max="4"/>
    <col width="14" customWidth="1" style="1" min="5" max="6"/>
    <col width="14.140625" customWidth="1" style="1" min="7" max="7"/>
    <col hidden="1" width="14.140625" customWidth="1" style="1"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CSE300</t>
        </is>
      </c>
      <c r="B2" s="1" t="inlineStr">
        <is>
          <t>New Student Added</t>
        </is>
      </c>
      <c r="D2" s="23" t="n">
        <v>0</v>
      </c>
      <c r="E2" s="23" t="n">
        <v>2</v>
      </c>
      <c r="F2" s="23" t="n"/>
      <c r="G2" s="24" t="n"/>
      <c r="H2" s="24" t="inlineStr">
        <is>
          <t>y</t>
        </is>
      </c>
      <c r="I2" s="26">
        <f>DATE(YEAR(Setup!$C$4),MONTH(Setup!$C$4),DAY(Setup!$C$4)+((D2-1)*7)+(E2-WEEKDAY(DATE(YEAR(Setup!$C$4),MONTH(Setup!$C$4),DAY(Setup!$C$4)),1)))</f>
        <v/>
      </c>
      <c r="J2" s="26">
        <f>I2+3</f>
        <v/>
      </c>
      <c r="K2" s="26">
        <f>(I2 + (7 - WEEKDAY(I2,1))) + 1</f>
        <v/>
      </c>
      <c r="L2" s="23">
        <f>F2*G2</f>
        <v/>
      </c>
      <c r="M2" s="1" t="inlineStr">
        <is>
          <t>Welcome Email</t>
        </is>
      </c>
      <c r="N2" s="1" t="inlineStr">
        <is>
          <t>Welcome students to your course</t>
        </is>
      </c>
    </row>
    <row r="3">
      <c r="A3" s="1" t="inlineStr">
        <is>
          <t>CSE300</t>
        </is>
      </c>
      <c r="B3" s="1" t="inlineStr">
        <is>
          <t>Scheduled - Not Logged In</t>
        </is>
      </c>
      <c r="C3" s="1" t="inlineStr">
        <is>
          <t>Not Logged In</t>
        </is>
      </c>
      <c r="D3" s="23" t="n">
        <v>1</v>
      </c>
      <c r="E3" s="23" t="n">
        <v>4</v>
      </c>
      <c r="F3" s="23" t="n"/>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CSE300</t>
        </is>
      </c>
      <c r="B4" s="1" t="inlineStr">
        <is>
          <t>Missing Assignment</t>
        </is>
      </c>
      <c r="C4" s="45" t="inlineStr">
        <is>
          <t>W01 Assignment: Prepare Employer List</t>
        </is>
      </c>
      <c r="D4" s="23" t="n">
        <v>2</v>
      </c>
      <c r="E4" s="23" t="n">
        <v>2</v>
      </c>
      <c r="F4" s="23" t="n"/>
      <c r="G4" s="24" t="inlineStr">
        <is>
          <t xml:space="preserve"> </t>
        </is>
      </c>
      <c r="H4" s="24" t="inlineStr">
        <is>
          <t>y</t>
        </is>
      </c>
      <c r="I4" s="26">
        <f>DATE(YEAR(Setup!$C$4),MONTH(Setup!$C$4),DAY(Setup!$C$4)+((D4-1)*7)+(E4-WEEKDAY(DATE(YEAR(Setup!$C$4),MONTH(Setup!$C$4),DAY(Setup!$C$4)),1)))</f>
        <v/>
      </c>
      <c r="J4" s="26">
        <f>I4+3</f>
        <v/>
      </c>
      <c r="K4" s="26">
        <f>(I4 + (7 - WEEKDAY(I4,1))) + 1</f>
        <v/>
      </c>
      <c r="L4" s="23">
        <f>F4*G4</f>
        <v/>
      </c>
      <c r="M4" s="1" t="inlineStr">
        <is>
          <t>Missing Assignment: W01 Assignment: Prepare Employer List</t>
        </is>
      </c>
      <c r="N4" s="1" t="inlineStr">
        <is>
          <t>Check in with student missing W01 Assignment: Prepare Employer List</t>
        </is>
      </c>
    </row>
    <row r="5">
      <c r="A5" s="1" t="inlineStr">
        <is>
          <t>CSE300</t>
        </is>
      </c>
      <c r="B5" s="1" t="inlineStr">
        <is>
          <t>Grader-Issued 0</t>
        </is>
      </c>
      <c r="C5" s="45" t="inlineStr">
        <is>
          <t>W01 Assignment: Prepare Employer List</t>
        </is>
      </c>
      <c r="D5" s="23" t="n">
        <v>2</v>
      </c>
      <c r="E5" s="23" t="n">
        <v>4</v>
      </c>
      <c r="F5" s="23" t="n">
        <v>100</v>
      </c>
      <c r="G5" s="24" t="n"/>
      <c r="H5" s="24" t="inlineStr">
        <is>
          <t>y</t>
        </is>
      </c>
      <c r="I5" s="26">
        <f>DATE(YEAR(Setup!$C$4),MONTH(Setup!$C$4),DAY(Setup!$C$4)+((D5-1)*7)+(E5-WEEKDAY(DATE(YEAR(Setup!$C$4),MONTH(Setup!$C$4),DAY(Setup!$C$4)),1)))</f>
        <v/>
      </c>
      <c r="J5" s="26">
        <f>I5+3</f>
        <v/>
      </c>
      <c r="K5" s="26">
        <f>(I5 + (7 - WEEKDAY(I5,1))) + 1</f>
        <v/>
      </c>
      <c r="L5" s="23">
        <f>F5*G5</f>
        <v/>
      </c>
      <c r="M5" s="1" t="inlineStr">
        <is>
          <t>The student was given a Grader issued 0 on W01 Assignment: Prepare Employer List</t>
        </is>
      </c>
      <c r="N5" s="44" t="inlineStr">
        <is>
          <t>Grader issued 0 for W01 Assignment: Prepare Employer List. Log into Canvas and see the grader comments. Work with the student to help resubmit.</t>
        </is>
      </c>
    </row>
    <row r="6">
      <c r="A6" s="1" t="inlineStr">
        <is>
          <t>CSE300</t>
        </is>
      </c>
      <c r="B6" s="1" t="inlineStr">
        <is>
          <t>High Performance</t>
        </is>
      </c>
      <c r="C6" s="45" t="inlineStr">
        <is>
          <t>W01 Assignment: Prepare Employer List</t>
        </is>
      </c>
      <c r="D6" s="23" t="n">
        <v>2</v>
      </c>
      <c r="E6" s="23" t="n">
        <v>5</v>
      </c>
      <c r="F6" s="23" t="n">
        <v>100</v>
      </c>
      <c r="G6" s="24" t="n">
        <v>0.9</v>
      </c>
      <c r="H6" s="24" t="inlineStr">
        <is>
          <t>y</t>
        </is>
      </c>
      <c r="I6" s="26">
        <f>DATE(YEAR(Setup!$C$4),MONTH(Setup!$C$4),DAY(Setup!$C$4)+((D6-1)*7)+(E6-WEEKDAY(DATE(YEAR(Setup!$C$4),MONTH(Setup!$C$4),DAY(Setup!$C$4)),1)))</f>
        <v/>
      </c>
      <c r="J6" s="26">
        <f>I6+3</f>
        <v/>
      </c>
      <c r="K6" s="26">
        <f>(I6 + (7 - WEEKDAY(I6,1))) + 1</f>
        <v/>
      </c>
      <c r="L6" s="23">
        <f>F6*G6</f>
        <v/>
      </c>
      <c r="M6" s="1" t="inlineStr">
        <is>
          <t>High Performance: W01 Assignment: Prepare Employer List</t>
        </is>
      </c>
      <c r="N6" s="1" t="inlineStr">
        <is>
          <t>Provide Positive Feedback on W01 Assignment: Prepare Employer List</t>
        </is>
      </c>
    </row>
    <row r="7">
      <c r="A7" s="1" t="inlineStr">
        <is>
          <t>CSE300</t>
        </is>
      </c>
      <c r="B7" s="1" t="inlineStr">
        <is>
          <t>Low Performance</t>
        </is>
      </c>
      <c r="C7" s="45" t="inlineStr">
        <is>
          <t>W01 Assignment: Prepare Employer List</t>
        </is>
      </c>
      <c r="D7" s="23" t="n">
        <v>2</v>
      </c>
      <c r="E7" s="23" t="n">
        <v>5</v>
      </c>
      <c r="F7" s="23" t="n">
        <v>100</v>
      </c>
      <c r="G7" s="24" t="n">
        <v>0.7</v>
      </c>
      <c r="H7" s="24" t="inlineStr">
        <is>
          <t>y</t>
        </is>
      </c>
      <c r="I7" s="26">
        <f>DATE(YEAR(Setup!$C$4),MONTH(Setup!$C$4),DAY(Setup!$C$4)+((D7-1)*7)+(E7-WEEKDAY(DATE(YEAR(Setup!$C$4),MONTH(Setup!$C$4),DAY(Setup!$C$4)),1)))</f>
        <v/>
      </c>
      <c r="J7" s="26">
        <f>I7+3</f>
        <v/>
      </c>
      <c r="K7" s="26">
        <f>(I7 + (7 - WEEKDAY(I7,1))) + 1</f>
        <v/>
      </c>
      <c r="L7" s="23">
        <f>F7*G7</f>
        <v/>
      </c>
      <c r="M7" s="1" t="inlineStr">
        <is>
          <t>Low Performance: W01 Assignment: Prepare Employer List</t>
        </is>
      </c>
      <c r="N7" s="1" t="inlineStr">
        <is>
          <t xml:space="preserve">At Risk. Student scored below 70% on W01 Assignment: Prepare Employer List Check in to see how you can help. </t>
        </is>
      </c>
    </row>
    <row r="8">
      <c r="A8" s="1" t="inlineStr">
        <is>
          <t>CSE300</t>
        </is>
      </c>
      <c r="B8" s="1" t="inlineStr">
        <is>
          <t>Quiz Question</t>
        </is>
      </c>
      <c r="C8" s="45" t="inlineStr">
        <is>
          <t>W01 60-second Status Update: NeedHelp Answer: Yes</t>
        </is>
      </c>
      <c r="D8" s="23" t="n">
        <v>2</v>
      </c>
      <c r="E8" s="23" t="n">
        <v>2</v>
      </c>
      <c r="F8" s="23" t="n"/>
      <c r="G8" s="24" t="n"/>
      <c r="H8" s="24" t="n"/>
      <c r="I8" s="26" t="n"/>
      <c r="J8" s="26" t="n"/>
      <c r="K8" s="26" t="n"/>
      <c r="M8" s="1" t="inlineStr">
        <is>
          <t>Response to W01 60-second Status Update - Student responded they are overwhelmed.</t>
        </is>
      </c>
      <c r="N8" s="1" t="inlineStr">
        <is>
          <t>Student responded feeling overwhelmed to W01 60-second Status Update. Reach out to student to see how you can help.</t>
        </is>
      </c>
    </row>
    <row r="9">
      <c r="A9" s="1" t="inlineStr">
        <is>
          <t>CSE300</t>
        </is>
      </c>
      <c r="B9" s="1" t="inlineStr">
        <is>
          <t>Missing Assignment</t>
        </is>
      </c>
      <c r="C9" s="45" t="inlineStr">
        <is>
          <t>W02 Assignment: Contact People for Informational Interviews</t>
        </is>
      </c>
      <c r="D9" s="23" t="n">
        <v>3</v>
      </c>
      <c r="E9" s="23" t="n">
        <v>2</v>
      </c>
      <c r="F9" s="23" t="n"/>
      <c r="G9" s="24" t="n"/>
      <c r="H9" s="24" t="inlineStr">
        <is>
          <t>y</t>
        </is>
      </c>
      <c r="I9" s="26">
        <f>DATE(YEAR(Setup!$C$4),MONTH(Setup!$C$4),DAY(Setup!$C$4)+((D9-1)*7)+(E9-WEEKDAY(DATE(YEAR(Setup!$C$4),MONTH(Setup!$C$4),DAY(Setup!$C$4)),1)))</f>
        <v/>
      </c>
      <c r="J9" s="26">
        <f>I9+3</f>
        <v/>
      </c>
      <c r="K9" s="26">
        <f>(I9 + (7 - WEEKDAY(I9,1))) + 1</f>
        <v/>
      </c>
      <c r="L9" s="23">
        <f>F9*G9</f>
        <v/>
      </c>
      <c r="M9" s="1" t="inlineStr">
        <is>
          <t>Missing Assignment: W02 Assignment: Contact People for Informational Interviews</t>
        </is>
      </c>
      <c r="N9" s="1" t="inlineStr">
        <is>
          <t>Check in with student missing W02 Assignment: Contact People for Informational Interviews</t>
        </is>
      </c>
    </row>
    <row r="10">
      <c r="A10" s="1" t="inlineStr">
        <is>
          <t>CSE300</t>
        </is>
      </c>
      <c r="B10" s="1" t="inlineStr">
        <is>
          <t>Grader-Issued 0</t>
        </is>
      </c>
      <c r="C10" s="45" t="inlineStr">
        <is>
          <t>W02 Assignment: Contact People for Informational Interviews</t>
        </is>
      </c>
      <c r="D10" s="23" t="n">
        <v>3</v>
      </c>
      <c r="E10" s="23" t="n">
        <v>4</v>
      </c>
      <c r="F10" s="23" t="n">
        <v>100</v>
      </c>
      <c r="G10" s="24" t="n"/>
      <c r="H10" s="24" t="inlineStr">
        <is>
          <t>y</t>
        </is>
      </c>
      <c r="I10" s="26">
        <f>DATE(YEAR(Setup!$C$4),MONTH(Setup!$C$4),DAY(Setup!$C$4)+((D10-1)*7)+(E10-WEEKDAY(DATE(YEAR(Setup!$C$4),MONTH(Setup!$C$4),DAY(Setup!$C$4)),1)))</f>
        <v/>
      </c>
      <c r="J10" s="26">
        <f>I10+3</f>
        <v/>
      </c>
      <c r="K10" s="26">
        <f>(I10 + (7 - WEEKDAY(I10,1))) + 1</f>
        <v/>
      </c>
      <c r="L10" s="23">
        <f>F10*G10</f>
        <v/>
      </c>
      <c r="M10" s="1" t="inlineStr">
        <is>
          <t>The student was given a Grader issued 0 on W02 Assignment: Contact People for Informational Interviews</t>
        </is>
      </c>
      <c r="N10" s="44" t="inlineStr">
        <is>
          <t>Grader issued 0 for W02 Assignment: Contact People for Informational Interviews. Log into Canvas and see the grader comments. Work with the student to help resubmit.</t>
        </is>
      </c>
    </row>
    <row r="11">
      <c r="A11" s="1" t="inlineStr">
        <is>
          <t>CSE300</t>
        </is>
      </c>
      <c r="B11" s="1" t="inlineStr">
        <is>
          <t>High Performance</t>
        </is>
      </c>
      <c r="C11" s="45" t="inlineStr">
        <is>
          <t>W02 Assignment: Contact People for Informational Interviews</t>
        </is>
      </c>
      <c r="D11" s="23" t="n">
        <v>3</v>
      </c>
      <c r="E11" s="23" t="n">
        <v>5</v>
      </c>
      <c r="F11" s="23" t="n">
        <v>100</v>
      </c>
      <c r="G11" s="24" t="n">
        <v>0.9</v>
      </c>
      <c r="H11" s="24" t="inlineStr">
        <is>
          <t>y</t>
        </is>
      </c>
      <c r="I11" s="26">
        <f>DATE(YEAR(Setup!$C$4),MONTH(Setup!$C$4),DAY(Setup!$C$4)+((D11-1)*7)+(E11-WEEKDAY(DATE(YEAR(Setup!$C$4),MONTH(Setup!$C$4),DAY(Setup!$C$4)),1)))</f>
        <v/>
      </c>
      <c r="J11" s="26">
        <f>I11+3</f>
        <v/>
      </c>
      <c r="K11" s="26">
        <f>(I11 + (7 - WEEKDAY(I11,1))) + 1</f>
        <v/>
      </c>
      <c r="L11" s="23">
        <f>F11*G11</f>
        <v/>
      </c>
      <c r="M11" s="1" t="inlineStr">
        <is>
          <t>High Performance: W02 Assignment: Contact People for Informational Interviews</t>
        </is>
      </c>
      <c r="N11" s="1" t="inlineStr">
        <is>
          <t>Provide Positive Feedback on W02 Assignment: Contact People for Informational Interviews</t>
        </is>
      </c>
    </row>
    <row r="12">
      <c r="A12" s="1" t="inlineStr">
        <is>
          <t>CSE300</t>
        </is>
      </c>
      <c r="B12" s="1" t="inlineStr">
        <is>
          <t>Low Performance</t>
        </is>
      </c>
      <c r="C12" s="45" t="inlineStr">
        <is>
          <t>W02 Assignment: Contact People for Informational Interviews</t>
        </is>
      </c>
      <c r="D12" s="23" t="n">
        <v>3</v>
      </c>
      <c r="E12" s="23" t="n">
        <v>5</v>
      </c>
      <c r="F12" s="23" t="n">
        <v>100</v>
      </c>
      <c r="G12" s="24" t="n">
        <v>0.7</v>
      </c>
      <c r="H12" s="24" t="inlineStr">
        <is>
          <t>y</t>
        </is>
      </c>
      <c r="I12" s="26">
        <f>DATE(YEAR(Setup!$C$4),MONTH(Setup!$C$4),DAY(Setup!$C$4)+((D12-1)*7)+(E12-WEEKDAY(DATE(YEAR(Setup!$C$4),MONTH(Setup!$C$4),DAY(Setup!$C$4)),1)))</f>
        <v/>
      </c>
      <c r="J12" s="26">
        <f>I12+3</f>
        <v/>
      </c>
      <c r="K12" s="26">
        <f>(I12 + (7 - WEEKDAY(I12,1))) + 1</f>
        <v/>
      </c>
      <c r="L12" s="23">
        <f>F12*G12</f>
        <v/>
      </c>
      <c r="M12" s="1" t="inlineStr">
        <is>
          <t>Low Performance: W02 Assignment: Contact People for Informational Interviews</t>
        </is>
      </c>
      <c r="N12" s="1" t="inlineStr">
        <is>
          <t xml:space="preserve">At Risk. Student scored below 70% on W02 Assignment: Contact People for Informational Interviews. Check in to see how you can help. </t>
        </is>
      </c>
    </row>
    <row r="13">
      <c r="A13" s="1" t="inlineStr">
        <is>
          <t>CSE300</t>
        </is>
      </c>
      <c r="B13" s="1" t="inlineStr">
        <is>
          <t>Quiz Question</t>
        </is>
      </c>
      <c r="C13" s="45" t="inlineStr">
        <is>
          <t>W02 60-second Status Update: NeedHelp Answer: Yes</t>
        </is>
      </c>
      <c r="D13" s="23" t="n">
        <v>3</v>
      </c>
      <c r="E13" s="23" t="n">
        <v>2</v>
      </c>
      <c r="F13" s="23" t="n"/>
      <c r="G13" s="24" t="n"/>
      <c r="H13" s="24" t="n"/>
      <c r="I13" s="26" t="n"/>
      <c r="J13" s="26" t="n"/>
      <c r="K13" s="26" t="n"/>
      <c r="M13" s="1" t="inlineStr">
        <is>
          <t>Response to W02 60-second Status Update - Student responded they are overwhelmed.</t>
        </is>
      </c>
      <c r="N13" s="1" t="inlineStr">
        <is>
          <t>Student responded feeling overwhelmed to W02 60-second Status Update. Reach out to student to see how you can help.</t>
        </is>
      </c>
    </row>
    <row r="14">
      <c r="A14" s="1" t="inlineStr">
        <is>
          <t>CSE300</t>
        </is>
      </c>
      <c r="B14" s="1" t="inlineStr">
        <is>
          <t>Missing Assignment</t>
        </is>
      </c>
      <c r="C14" s="1" t="inlineStr">
        <is>
          <t>W03 Assignment: Portfolio Evaluation</t>
        </is>
      </c>
      <c r="D14" s="23" t="n">
        <v>4</v>
      </c>
      <c r="E14" s="23" t="n">
        <v>2</v>
      </c>
      <c r="F14" s="23" t="n"/>
      <c r="G14" s="24" t="n"/>
      <c r="H14" s="24" t="inlineStr">
        <is>
          <t>y</t>
        </is>
      </c>
      <c r="I14" s="26">
        <f>DATE(YEAR(Setup!$C$4),MONTH(Setup!$C$4),DAY(Setup!$C$4)+((D14-1)*7)+(E14-WEEKDAY(DATE(YEAR(Setup!$C$4),MONTH(Setup!$C$4),DAY(Setup!$C$4)),1)))</f>
        <v/>
      </c>
      <c r="J14" s="26">
        <f>I14+3</f>
        <v/>
      </c>
      <c r="K14" s="26">
        <f>(I14 + (7 - WEEKDAY(I14,1))) + 1</f>
        <v/>
      </c>
      <c r="L14" s="23">
        <f>F14*G14</f>
        <v/>
      </c>
      <c r="M14" s="1" t="inlineStr">
        <is>
          <t>Missing Assignment: W03 Assignment: Portfolio Evaluation</t>
        </is>
      </c>
      <c r="N14" s="1" t="inlineStr">
        <is>
          <t>Check in with student missing W03 Assignment: Portfolio Evaluation</t>
        </is>
      </c>
    </row>
    <row r="15">
      <c r="A15" s="1" t="inlineStr">
        <is>
          <t>CSE300</t>
        </is>
      </c>
      <c r="B15" s="1" t="inlineStr">
        <is>
          <t>Grader-Issued 0</t>
        </is>
      </c>
      <c r="C15" s="1" t="inlineStr">
        <is>
          <t>W03 Assignment: Portfolio Evaluation</t>
        </is>
      </c>
      <c r="D15" s="23" t="n">
        <v>4</v>
      </c>
      <c r="E15" s="23" t="n">
        <v>4</v>
      </c>
      <c r="F15" s="23" t="n">
        <v>100</v>
      </c>
      <c r="G15" s="24" t="n"/>
      <c r="H15" s="24" t="inlineStr">
        <is>
          <t>y</t>
        </is>
      </c>
      <c r="I15" s="26">
        <f>DATE(YEAR(Setup!$C$4),MONTH(Setup!$C$4),DAY(Setup!$C$4)+((D15-1)*7)+(E15-WEEKDAY(DATE(YEAR(Setup!$C$4),MONTH(Setup!$C$4),DAY(Setup!$C$4)),1)))</f>
        <v/>
      </c>
      <c r="J15" s="26">
        <f>I15+3</f>
        <v/>
      </c>
      <c r="K15" s="26">
        <f>(I15 + (7 - WEEKDAY(I15,1))) + 1</f>
        <v/>
      </c>
      <c r="L15" s="23">
        <f>F15*G15</f>
        <v/>
      </c>
      <c r="M15" s="1" t="inlineStr">
        <is>
          <t>The student was given a Grader issued 0 on W03 Assignment: Portfolio Evaluation</t>
        </is>
      </c>
      <c r="N15" s="44" t="inlineStr">
        <is>
          <t>Grader issued 0 for W03 Assignment: Portfolio Evaluation. Log into Canvas and see the grader comments. Work with the student to help resubmit.</t>
        </is>
      </c>
    </row>
    <row r="16">
      <c r="A16" s="1" t="inlineStr">
        <is>
          <t>CSE300</t>
        </is>
      </c>
      <c r="B16" s="1" t="inlineStr">
        <is>
          <t>Scheduled - Low Current Grade</t>
        </is>
      </c>
      <c r="C16" s="1" t="inlineStr">
        <is>
          <t>Withdraw Deadline Reminder</t>
        </is>
      </c>
      <c r="D16" s="23" t="n">
        <v>4</v>
      </c>
      <c r="E16" s="23" t="n">
        <v>4</v>
      </c>
      <c r="F16" s="23" t="n"/>
      <c r="G16" s="24" t="n">
        <v>0.5</v>
      </c>
      <c r="H16" s="24" t="inlineStr">
        <is>
          <t>y</t>
        </is>
      </c>
      <c r="I16" s="26">
        <f>DATE(YEAR(Setup!$C$4),MONTH(Setup!$C$4),DAY(Setup!$C$4)+((D16-1)*7)+(E16-WEEKDAY(DATE(YEAR(Setup!$C$4),MONTH(Setup!$C$4),DAY(Setup!$C$4)),1)))</f>
        <v/>
      </c>
      <c r="J16" s="26">
        <f>I16+3</f>
        <v/>
      </c>
      <c r="K16" s="26">
        <f>(I16 + (7 - WEEKDAY(I16,1))) + 1</f>
        <v/>
      </c>
      <c r="L16" s="23">
        <f>F16*G16</f>
        <v/>
      </c>
      <c r="M16" s="1" t="inlineStr">
        <is>
          <t>Failing student. Withdraw Reminder</t>
        </is>
      </c>
      <c r="N16" s="1" t="inlineStr">
        <is>
          <t>Email students who are currently failing with little chance to catch up, reminding them of the withdraw deadline.</t>
        </is>
      </c>
    </row>
    <row r="17">
      <c r="A17" s="1" t="inlineStr">
        <is>
          <t>CSE300</t>
        </is>
      </c>
      <c r="B17" s="1" t="inlineStr">
        <is>
          <t>High Performance</t>
        </is>
      </c>
      <c r="C17" s="1" t="inlineStr">
        <is>
          <t>W03 Assignment: Portfolio Evaluation</t>
        </is>
      </c>
      <c r="D17" s="23" t="n">
        <v>4</v>
      </c>
      <c r="E17" s="23" t="n">
        <v>5</v>
      </c>
      <c r="F17" s="23" t="n">
        <v>100</v>
      </c>
      <c r="G17" s="24" t="n">
        <v>0.9</v>
      </c>
      <c r="H17" s="24" t="inlineStr">
        <is>
          <t>y</t>
        </is>
      </c>
      <c r="I17" s="26">
        <f>DATE(YEAR(Setup!$C$4),MONTH(Setup!$C$4),DAY(Setup!$C$4)+((D17-1)*7)+(E17-WEEKDAY(DATE(YEAR(Setup!$C$4),MONTH(Setup!$C$4),DAY(Setup!$C$4)),1)))</f>
        <v/>
      </c>
      <c r="J17" s="26">
        <f>I17+3</f>
        <v/>
      </c>
      <c r="K17" s="26">
        <f>(I17 + (7 - WEEKDAY(I17,1))) + 1</f>
        <v/>
      </c>
      <c r="L17" s="23">
        <f>F17*G17</f>
        <v/>
      </c>
      <c r="M17" s="1" t="inlineStr">
        <is>
          <t>High Performance: W03 Assignment: Portfolio Evaluation</t>
        </is>
      </c>
      <c r="N17" s="1" t="inlineStr">
        <is>
          <t>Provide Positive Feedback on W03 Assignment: Portfolio Evaluation</t>
        </is>
      </c>
    </row>
    <row r="18">
      <c r="A18" s="1" t="inlineStr">
        <is>
          <t>CSE300</t>
        </is>
      </c>
      <c r="B18" s="1" t="inlineStr">
        <is>
          <t>Low Performance</t>
        </is>
      </c>
      <c r="C18" s="1" t="inlineStr">
        <is>
          <t>W03 Assignment: Portfolio Evaluation</t>
        </is>
      </c>
      <c r="D18" s="23" t="n">
        <v>4</v>
      </c>
      <c r="E18" s="23" t="n">
        <v>5</v>
      </c>
      <c r="F18" s="23" t="n">
        <v>100</v>
      </c>
      <c r="G18" s="24" t="n">
        <v>0.7</v>
      </c>
      <c r="H18" s="24" t="inlineStr">
        <is>
          <t>y</t>
        </is>
      </c>
      <c r="I18" s="26">
        <f>DATE(YEAR(Setup!$C$4),MONTH(Setup!$C$4),DAY(Setup!$C$4)+((D18-1)*7)+(E18-WEEKDAY(DATE(YEAR(Setup!$C$4),MONTH(Setup!$C$4),DAY(Setup!$C$4)),1)))</f>
        <v/>
      </c>
      <c r="J18" s="26">
        <f>I18+3</f>
        <v/>
      </c>
      <c r="K18" s="26">
        <f>(I18 + (7 - WEEKDAY(I18,1))) + 1</f>
        <v/>
      </c>
      <c r="L18" s="23">
        <f>F18*G18</f>
        <v/>
      </c>
      <c r="M18" s="1" t="inlineStr">
        <is>
          <t>Low Performance: W03 Assignment: Portfolio Evaluation</t>
        </is>
      </c>
      <c r="N18" s="1" t="inlineStr">
        <is>
          <t xml:space="preserve">At Risk. Student scored below 70% on W03 Assignment: Portfolio Evaluation. Check in to see how you can help. </t>
        </is>
      </c>
    </row>
    <row r="19">
      <c r="A19" s="1" t="inlineStr">
        <is>
          <t>CSE300</t>
        </is>
      </c>
      <c r="B19" s="1" t="inlineStr">
        <is>
          <t>Quiz Question</t>
        </is>
      </c>
      <c r="C19" s="45" t="inlineStr">
        <is>
          <t>W03 60-second Status Update: NeedHelp Answer: Yes</t>
        </is>
      </c>
      <c r="D19" s="23" t="n">
        <v>4</v>
      </c>
      <c r="E19" s="23" t="n">
        <v>2</v>
      </c>
      <c r="F19" s="23" t="n"/>
      <c r="G19" s="24" t="n"/>
      <c r="H19" s="24" t="n"/>
      <c r="I19" s="26" t="n"/>
      <c r="J19" s="26" t="n"/>
      <c r="K19" s="26" t="n"/>
      <c r="M19" s="1" t="inlineStr">
        <is>
          <t>Response to W03 60-second Status Update - Student responded they are overwhelmed.</t>
        </is>
      </c>
      <c r="N19" s="1" t="inlineStr">
        <is>
          <t>Student responded feeling overwhelmed to W03 60-second Status Update. Reach out to student to see how you can help.</t>
        </is>
      </c>
    </row>
    <row r="20">
      <c r="A20" s="1" t="inlineStr">
        <is>
          <t>CSE300</t>
        </is>
      </c>
      <c r="B20" s="1" t="inlineStr">
        <is>
          <t>Missing Assignment</t>
        </is>
      </c>
      <c r="C20" s="1" t="inlineStr">
        <is>
          <t>W04 Assignment: Conduct Technical Interviews</t>
        </is>
      </c>
      <c r="D20" s="23" t="n">
        <v>5</v>
      </c>
      <c r="E20" s="23" t="n">
        <v>2</v>
      </c>
      <c r="F20" s="23" t="n"/>
      <c r="G20" s="24" t="n"/>
      <c r="H20" s="24" t="inlineStr">
        <is>
          <t>y</t>
        </is>
      </c>
      <c r="I20" s="26">
        <f>DATE(YEAR(Setup!$C$4),MONTH(Setup!$C$4),DAY(Setup!$C$4)+((D20-1)*7)+(E20-WEEKDAY(DATE(YEAR(Setup!$C$4),MONTH(Setup!$C$4),DAY(Setup!$C$4)),1)))</f>
        <v/>
      </c>
      <c r="J20" s="26">
        <f>I20+3</f>
        <v/>
      </c>
      <c r="K20" s="26">
        <f>(I20 + (7 - WEEKDAY(I20,1))) + 1</f>
        <v/>
      </c>
      <c r="L20" s="23">
        <f>F20*G20</f>
        <v/>
      </c>
      <c r="M20" s="1" t="inlineStr">
        <is>
          <t>Missing Assignment: W04 Assignment: Conduct Technical Interviews</t>
        </is>
      </c>
      <c r="N20" s="1" t="inlineStr">
        <is>
          <t>Check in with student missing W04 Assignment: Conduct Technical Interviews</t>
        </is>
      </c>
    </row>
    <row r="21">
      <c r="A21" s="1" t="inlineStr">
        <is>
          <t>CSE300</t>
        </is>
      </c>
      <c r="B21" s="1" t="inlineStr">
        <is>
          <t>Grader-Issued 0</t>
        </is>
      </c>
      <c r="C21" s="1" t="inlineStr">
        <is>
          <t>W04 Assignment: Conduct Technical Interviews</t>
        </is>
      </c>
      <c r="D21" s="23" t="n">
        <v>5</v>
      </c>
      <c r="E21" s="23" t="n">
        <v>4</v>
      </c>
      <c r="F21" s="23" t="n">
        <v>100</v>
      </c>
      <c r="G21" s="24" t="n"/>
      <c r="H21" s="24" t="inlineStr">
        <is>
          <t>y</t>
        </is>
      </c>
      <c r="I21" s="26">
        <f>DATE(YEAR(Setup!$C$4),MONTH(Setup!$C$4),DAY(Setup!$C$4)+((D21-1)*7)+(E21-WEEKDAY(DATE(YEAR(Setup!$C$4),MONTH(Setup!$C$4),DAY(Setup!$C$4)),1)))</f>
        <v/>
      </c>
      <c r="J21" s="26">
        <f>I21+3</f>
        <v/>
      </c>
      <c r="K21" s="26">
        <f>(I21 + (7 - WEEKDAY(I21,1))) + 1</f>
        <v/>
      </c>
      <c r="L21" s="23">
        <f>F21*G21</f>
        <v/>
      </c>
      <c r="M21" s="1" t="inlineStr">
        <is>
          <t>The student was given a Grader issued 0 on W04 Assignment: Conduct Technical Interviews</t>
        </is>
      </c>
      <c r="N21" s="44" t="inlineStr">
        <is>
          <t>Grader issued 0 for W04 Assignment: Conduct Technical Interviews. Log into Canvas and see the grader comments. Work with the student to help resubmit.</t>
        </is>
      </c>
    </row>
    <row r="22">
      <c r="A22" s="1" t="inlineStr">
        <is>
          <t>CSE300</t>
        </is>
      </c>
      <c r="B22" s="1" t="inlineStr">
        <is>
          <t>Scheduled - Classwide</t>
        </is>
      </c>
      <c r="C22" s="1" t="inlineStr">
        <is>
          <t>Registration Reminder 1</t>
        </is>
      </c>
      <c r="D22" s="23" t="n">
        <v>5</v>
      </c>
      <c r="E22" s="23" t="n">
        <v>4</v>
      </c>
      <c r="F22" s="23" t="n"/>
      <c r="G22" s="24" t="n"/>
      <c r="H22" s="24" t="inlineStr">
        <is>
          <t>y</t>
        </is>
      </c>
      <c r="I22" s="26">
        <f>DATE(YEAR(Setup!$C$4),MONTH(Setup!$C$4),DAY(Setup!$C$4)+((D22-1)*7)+(E22-WEEKDAY(DATE(YEAR(Setup!$C$4),MONTH(Setup!$C$4),DAY(Setup!$C$4)),1)))</f>
        <v/>
      </c>
      <c r="J22" s="26">
        <f>I22+3</f>
        <v/>
      </c>
      <c r="K22" s="26">
        <f>(I22 + (7 - WEEKDAY(I22,1))) + 1</f>
        <v/>
      </c>
      <c r="L22" s="23">
        <f>F22*G22</f>
        <v/>
      </c>
      <c r="M22" s="1" t="inlineStr">
        <is>
          <t>Registration Reminder 1</t>
        </is>
      </c>
      <c r="N22" s="43" t="inlineStr">
        <is>
          <t>Send a message to all students, reminding them that registration for the next block is now open and encouraging them to go and take action.</t>
        </is>
      </c>
    </row>
    <row r="23">
      <c r="A23" s="1" t="inlineStr">
        <is>
          <t>CSE300</t>
        </is>
      </c>
      <c r="B23" s="1" t="inlineStr">
        <is>
          <t>High Performance</t>
        </is>
      </c>
      <c r="C23" s="1" t="inlineStr">
        <is>
          <t>W04 Assignment: Conduct Technical Interviews</t>
        </is>
      </c>
      <c r="D23" s="23" t="n">
        <v>5</v>
      </c>
      <c r="E23" s="23" t="n">
        <v>5</v>
      </c>
      <c r="F23" s="23" t="n">
        <v>100</v>
      </c>
      <c r="G23" s="24" t="n">
        <v>0.9</v>
      </c>
      <c r="H23" s="24" t="inlineStr">
        <is>
          <t>y</t>
        </is>
      </c>
      <c r="I23" s="26">
        <f>DATE(YEAR(Setup!$C$4),MONTH(Setup!$C$4),DAY(Setup!$C$4)+((D23-1)*7)+(E23-WEEKDAY(DATE(YEAR(Setup!$C$4),MONTH(Setup!$C$4),DAY(Setup!$C$4)),1)))</f>
        <v/>
      </c>
      <c r="J23" s="26">
        <f>I23+3</f>
        <v/>
      </c>
      <c r="K23" s="26">
        <f>(I23 + (7 - WEEKDAY(I23,1))) + 1</f>
        <v/>
      </c>
      <c r="L23" s="23">
        <f>F23*G23</f>
        <v/>
      </c>
      <c r="M23" s="1" t="inlineStr">
        <is>
          <t>High Performance: W04 Assignment: Conduct Technical Interviews</t>
        </is>
      </c>
      <c r="N23" s="1" t="inlineStr">
        <is>
          <t>Provide Positive Feedback on W04 Assignment: Conduct Technical Interviews</t>
        </is>
      </c>
    </row>
    <row r="24">
      <c r="A24" s="1" t="inlineStr">
        <is>
          <t>CSE300</t>
        </is>
      </c>
      <c r="B24" s="1" t="inlineStr">
        <is>
          <t>Low Performance</t>
        </is>
      </c>
      <c r="C24" s="1" t="inlineStr">
        <is>
          <t>W04 Assignment: Conduct Technical Interviews</t>
        </is>
      </c>
      <c r="D24" s="23" t="n">
        <v>5</v>
      </c>
      <c r="E24" s="23" t="n">
        <v>5</v>
      </c>
      <c r="F24" s="23" t="n">
        <v>100</v>
      </c>
      <c r="G24" s="24" t="n">
        <v>0.7</v>
      </c>
      <c r="H24" s="24" t="inlineStr">
        <is>
          <t>y</t>
        </is>
      </c>
      <c r="I24" s="26">
        <f>DATE(YEAR(Setup!$C$4),MONTH(Setup!$C$4),DAY(Setup!$C$4)+((D24-1)*7)+(E24-WEEKDAY(DATE(YEAR(Setup!$C$4),MONTH(Setup!$C$4),DAY(Setup!$C$4)),1)))</f>
        <v/>
      </c>
      <c r="J24" s="26">
        <f>I24+3</f>
        <v/>
      </c>
      <c r="K24" s="26">
        <f>(I24 + (7 - WEEKDAY(I24,1))) + 1</f>
        <v/>
      </c>
      <c r="L24" s="23">
        <f>F24*G24</f>
        <v/>
      </c>
      <c r="M24" s="1" t="inlineStr">
        <is>
          <t>Low Performance: W04 Assignment: Conduct Technical Interviews</t>
        </is>
      </c>
      <c r="N24" s="1" t="inlineStr">
        <is>
          <t xml:space="preserve">At Risk. Student scored below 70% on W04 Assignment: Conduct Technical Interviews. Check in to see how you can help. </t>
        </is>
      </c>
    </row>
    <row r="25">
      <c r="A25" s="1" t="inlineStr">
        <is>
          <t>CSE300</t>
        </is>
      </c>
      <c r="B25" s="1" t="inlineStr">
        <is>
          <t>Quiz Question</t>
        </is>
      </c>
      <c r="C25" s="45" t="inlineStr">
        <is>
          <t>W04 60-second Status Update: NeedHelp Answer: Yes</t>
        </is>
      </c>
      <c r="D25" s="23" t="n">
        <v>5</v>
      </c>
      <c r="E25" s="23" t="n">
        <v>2</v>
      </c>
      <c r="F25" s="23" t="n"/>
      <c r="G25" s="24" t="n"/>
      <c r="H25" s="24" t="n"/>
      <c r="I25" s="26" t="n"/>
      <c r="J25" s="26" t="n"/>
      <c r="K25" s="26" t="n"/>
      <c r="M25" s="1" t="inlineStr">
        <is>
          <t>Response to W04 60-second Status Update - Student responded they are overwhelmed.</t>
        </is>
      </c>
      <c r="N25" s="1" t="inlineStr">
        <is>
          <t>Student responded feeling overwhelmed to W04 60-second Status Update. Reach out to student to see how you can help.</t>
        </is>
      </c>
    </row>
    <row r="26">
      <c r="A26" s="1" t="inlineStr">
        <is>
          <t>CSE300</t>
        </is>
      </c>
      <c r="B26" s="1" t="inlineStr">
        <is>
          <t>Missing Assignment</t>
        </is>
      </c>
      <c r="C26" s="1" t="inlineStr">
        <is>
          <t>W05 Assignment: Informational Interview #1 Report</t>
        </is>
      </c>
      <c r="D26" s="23" t="n">
        <v>6</v>
      </c>
      <c r="E26" s="23" t="n">
        <v>2</v>
      </c>
      <c r="F26" s="23" t="n"/>
      <c r="G26" s="24" t="n"/>
      <c r="H26" s="24" t="inlineStr">
        <is>
          <t>y</t>
        </is>
      </c>
      <c r="I26" s="26">
        <f>DATE(YEAR(Setup!$C$4),MONTH(Setup!$C$4),DAY(Setup!$C$4)+((D26-1)*7)+(E26-WEEKDAY(DATE(YEAR(Setup!$C$4),MONTH(Setup!$C$4),DAY(Setup!$C$4)),1)))</f>
        <v/>
      </c>
      <c r="J26" s="26">
        <f>I26+3</f>
        <v/>
      </c>
      <c r="K26" s="26">
        <f>(I26 + (7 - WEEKDAY(I26,1))) + 1</f>
        <v/>
      </c>
      <c r="L26" s="23">
        <f>F26*G26</f>
        <v/>
      </c>
      <c r="M26" s="1" t="inlineStr">
        <is>
          <t>Missing Assignment: W05 Assignment: Informational Interview #1 Report</t>
        </is>
      </c>
      <c r="N26" s="1" t="inlineStr">
        <is>
          <t>Check in with student missing W05 Assignment: Informational Interview #1 Report</t>
        </is>
      </c>
    </row>
    <row r="27">
      <c r="A27" s="1" t="inlineStr">
        <is>
          <t>CSE300</t>
        </is>
      </c>
      <c r="B27" s="1" t="inlineStr">
        <is>
          <t>Grader-Issued 0</t>
        </is>
      </c>
      <c r="C27" s="1" t="inlineStr">
        <is>
          <t>W05 Assignment: Informational Interview #1 Report</t>
        </is>
      </c>
      <c r="D27" s="23" t="n">
        <v>6</v>
      </c>
      <c r="E27" s="23" t="n">
        <v>4</v>
      </c>
      <c r="F27" s="23" t="n">
        <v>100</v>
      </c>
      <c r="G27" s="24" t="n"/>
      <c r="H27" s="24" t="inlineStr">
        <is>
          <t>y</t>
        </is>
      </c>
      <c r="I27" s="26">
        <f>DATE(YEAR(Setup!$C$4),MONTH(Setup!$C$4),DAY(Setup!$C$4)+((D27-1)*7)+(E27-WEEKDAY(DATE(YEAR(Setup!$C$4),MONTH(Setup!$C$4),DAY(Setup!$C$4)),1)))</f>
        <v/>
      </c>
      <c r="J27" s="26">
        <f>I27+3</f>
        <v/>
      </c>
      <c r="K27" s="26">
        <f>(I27 + (7 - WEEKDAY(I27,1))) + 1</f>
        <v/>
      </c>
      <c r="L27" s="23">
        <f>F27*G27</f>
        <v/>
      </c>
      <c r="M27" s="1" t="inlineStr">
        <is>
          <t>The student was given a Grader issued 0 on W05 Assignment: Informational Interview #1 Report</t>
        </is>
      </c>
      <c r="N27" s="44" t="inlineStr">
        <is>
          <t>Grader issued 0 for W05 Assignment: Informational Interview #1 Report. Log into Canvas and see the grader comments. Work with the student to help resubmit.</t>
        </is>
      </c>
    </row>
    <row r="28">
      <c r="A28" s="1" t="inlineStr">
        <is>
          <t>CSE300</t>
        </is>
      </c>
      <c r="B28" s="1" t="inlineStr">
        <is>
          <t>High Performance</t>
        </is>
      </c>
      <c r="C28" s="1" t="inlineStr">
        <is>
          <t>W05 Assignment: Informational Interview #1 Report</t>
        </is>
      </c>
      <c r="D28" s="23" t="n">
        <v>6</v>
      </c>
      <c r="E28" s="23" t="n">
        <v>5</v>
      </c>
      <c r="F28" s="23" t="n">
        <v>100</v>
      </c>
      <c r="G28" s="24" t="n">
        <v>0.9</v>
      </c>
      <c r="H28" s="24" t="inlineStr">
        <is>
          <t>y</t>
        </is>
      </c>
      <c r="I28" s="26">
        <f>DATE(YEAR(Setup!$C$4),MONTH(Setup!$C$4),DAY(Setup!$C$4)+((D28-1)*7)+(E28-WEEKDAY(DATE(YEAR(Setup!$C$4),MONTH(Setup!$C$4),DAY(Setup!$C$4)),1)))</f>
        <v/>
      </c>
      <c r="J28" s="26">
        <f>I28+3</f>
        <v/>
      </c>
      <c r="K28" s="26">
        <f>(I28 + (7 - WEEKDAY(I28,1))) + 1</f>
        <v/>
      </c>
      <c r="L28" s="23">
        <f>F28*G28</f>
        <v/>
      </c>
      <c r="M28" s="1" t="inlineStr">
        <is>
          <t>High Performance:W05 Assignment: Informational Interview #1 Report</t>
        </is>
      </c>
      <c r="N28" s="1" t="inlineStr">
        <is>
          <t>Provide Positive Feedback on W05 Assignment: Informational Interview #1 Report</t>
        </is>
      </c>
    </row>
    <row r="29">
      <c r="A29" s="1" t="inlineStr">
        <is>
          <t>CSE300</t>
        </is>
      </c>
      <c r="B29" s="1" t="inlineStr">
        <is>
          <t>Low Performance</t>
        </is>
      </c>
      <c r="C29" s="1" t="inlineStr">
        <is>
          <t>W05 Assignment: Informational Interview #1 Report</t>
        </is>
      </c>
      <c r="D29" s="23" t="n">
        <v>6</v>
      </c>
      <c r="E29" s="23" t="n">
        <v>5</v>
      </c>
      <c r="F29" s="23" t="n">
        <v>100</v>
      </c>
      <c r="G29" s="24" t="n">
        <v>0.7</v>
      </c>
      <c r="H29" s="24" t="inlineStr">
        <is>
          <t>y</t>
        </is>
      </c>
      <c r="I29" s="26">
        <f>DATE(YEAR(Setup!$C$4),MONTH(Setup!$C$4),DAY(Setup!$C$4)+((D29-1)*7)+(E29-WEEKDAY(DATE(YEAR(Setup!$C$4),MONTH(Setup!$C$4),DAY(Setup!$C$4)),1)))</f>
        <v/>
      </c>
      <c r="J29" s="26">
        <f>I29+3</f>
        <v/>
      </c>
      <c r="K29" s="26">
        <f>(I29 + (7 - WEEKDAY(I29,1))) + 1</f>
        <v/>
      </c>
      <c r="L29" s="23">
        <f>F29*G29</f>
        <v/>
      </c>
      <c r="M29" s="1" t="inlineStr">
        <is>
          <t>Low Performance: W05 Assignment: Informational Interview #1 Report</t>
        </is>
      </c>
      <c r="N29" s="1" t="inlineStr">
        <is>
          <t xml:space="preserve">At Risk. Student scored below 70% on W05 Assignment: Informational Interview #1 Report. Check in to see how you can help. </t>
        </is>
      </c>
    </row>
    <row r="30">
      <c r="A30" s="1" t="inlineStr">
        <is>
          <t>CSE300</t>
        </is>
      </c>
      <c r="B30" s="1" t="inlineStr">
        <is>
          <t>Quiz Question</t>
        </is>
      </c>
      <c r="C30" s="45" t="inlineStr">
        <is>
          <t>W05 60-second Status Update: NeedHelp Answer: Yes</t>
        </is>
      </c>
      <c r="D30" s="23" t="n">
        <v>5</v>
      </c>
      <c r="E30" s="23" t="n">
        <v>2</v>
      </c>
      <c r="F30" s="23" t="n"/>
      <c r="G30" s="24" t="n"/>
      <c r="H30" s="24" t="n"/>
      <c r="I30" s="26" t="n"/>
      <c r="J30" s="26" t="n"/>
      <c r="K30" s="26" t="n"/>
      <c r="M30" s="1" t="inlineStr">
        <is>
          <t>Response to W05 60-second Status Update - Student responded they are overwhelmed.</t>
        </is>
      </c>
      <c r="N30" s="1" t="inlineStr">
        <is>
          <t>Student responded feeling overwhelmed to W05 60-second Status Update. Reach out to student to see how you can help.</t>
        </is>
      </c>
    </row>
    <row r="31">
      <c r="A31" s="1" t="inlineStr">
        <is>
          <t>CSE300</t>
        </is>
      </c>
      <c r="B31" s="1" t="inlineStr">
        <is>
          <t>Scheduled - Classwide</t>
        </is>
      </c>
      <c r="C31" s="1" t="inlineStr">
        <is>
          <t>Registration Reminder 2</t>
        </is>
      </c>
      <c r="D31" s="23" t="n">
        <v>7</v>
      </c>
      <c r="E31" s="23" t="n">
        <v>1</v>
      </c>
      <c r="F31" s="23" t="n"/>
      <c r="G31" s="24" t="n"/>
      <c r="H31" s="24" t="inlineStr">
        <is>
          <t>y</t>
        </is>
      </c>
      <c r="I31" s="26">
        <f>DATE(YEAR(Setup!$C$4),MONTH(Setup!$C$4),DAY(Setup!$C$4)+((D31-1)*7)+(E31-WEEKDAY(DATE(YEAR(Setup!$C$4),MONTH(Setup!$C$4),DAY(Setup!$C$4)),1)))</f>
        <v/>
      </c>
      <c r="J31" s="26">
        <f>I31+3</f>
        <v/>
      </c>
      <c r="K31" s="26">
        <f>(I31 + (7 - WEEKDAY(I31,1))) + 1</f>
        <v/>
      </c>
      <c r="L31" s="23">
        <f>F31*G31</f>
        <v/>
      </c>
      <c r="M31" s="1" t="inlineStr">
        <is>
          <t>Registration Reminder 2</t>
        </is>
      </c>
      <c r="N31" s="43" t="inlineStr">
        <is>
          <t>Send a message to all students, reminding them that registration for the next block is still open, but will be closing soon. Encourage them to go in and register as soon as possible.</t>
        </is>
      </c>
    </row>
    <row r="32">
      <c r="A32" s="1" t="inlineStr">
        <is>
          <t>CSE300</t>
        </is>
      </c>
      <c r="B32" s="1" t="inlineStr">
        <is>
          <t>Scheduled - Classwide</t>
        </is>
      </c>
      <c r="C32" s="1" t="inlineStr">
        <is>
          <t>End of Block Reminder</t>
        </is>
      </c>
      <c r="D32" s="23" t="n">
        <v>7</v>
      </c>
      <c r="E32" s="23" t="n">
        <v>2</v>
      </c>
      <c r="F32" s="23" t="n"/>
      <c r="G32" s="24" t="n"/>
      <c r="H32" s="24" t="inlineStr">
        <is>
          <t>y</t>
        </is>
      </c>
      <c r="I32" s="26">
        <f>DATE(YEAR(Setup!$C$4),MONTH(Setup!$C$4),DAY(Setup!$C$4)+((D32-1)*7)+(E32-WEEKDAY(DATE(YEAR(Setup!$C$4),MONTH(Setup!$C$4),DAY(Setup!$C$4)),1)))</f>
        <v/>
      </c>
      <c r="J32" s="26">
        <f>I32+3</f>
        <v/>
      </c>
      <c r="K32" s="26">
        <f>(I32 + (7 - WEEKDAY(I32,1))) + 1</f>
        <v/>
      </c>
      <c r="L32" s="23">
        <f>F32*G32</f>
        <v/>
      </c>
      <c r="M32" s="1" t="inlineStr">
        <is>
          <t>End of Block Reminder</t>
        </is>
      </c>
      <c r="N32" s="44" t="inlineStr">
        <is>
          <t>Remind Students the course will be closing, submit assignments by deadline, complete End-of-Course Evaluation</t>
        </is>
      </c>
    </row>
    <row r="33">
      <c r="G33" s="2" t="n"/>
      <c r="H33" s="2" t="n"/>
      <c r="I33" s="26">
        <f>DATE(YEAR(Setup!$C$4),MONTH(Setup!$C$4),DAY(Setup!$C$4)+((D33-1)*7)+(E33-WEEKDAY(DATE(YEAR(Setup!$C$4),MONTH(Setup!$C$4),DAY(Setup!$C$4)),1)))</f>
        <v/>
      </c>
      <c r="J33" s="26">
        <f>I33+3</f>
        <v/>
      </c>
      <c r="K33" s="26">
        <f>(I33 + (7 - WEEKDAY(I33,1))) + 1</f>
        <v/>
      </c>
      <c r="L33" s="23">
        <f>F33*G33</f>
        <v/>
      </c>
    </row>
    <row r="34">
      <c r="G34" s="2" t="n"/>
      <c r="H34" s="2" t="n"/>
      <c r="I34" s="26">
        <f>DATE(YEAR(Setup!$C$4),MONTH(Setup!$C$4),DAY(Setup!$C$4)+((D34-1)*7)+(E34-WEEKDAY(DATE(YEAR(Setup!$C$4),MONTH(Setup!$C$4),DAY(Setup!$C$4)),1)))</f>
        <v/>
      </c>
      <c r="J34" s="26">
        <f>I34+3</f>
        <v/>
      </c>
      <c r="K34" s="26">
        <f>(I34 + (7 - WEEKDAY(I34,1))) + 1</f>
        <v/>
      </c>
      <c r="L34" s="23">
        <f>F34*G34</f>
        <v/>
      </c>
    </row>
    <row r="35">
      <c r="B35" s="3" t="n"/>
      <c r="G35" s="2" t="n"/>
      <c r="H35" s="2" t="n"/>
      <c r="I35" s="26">
        <f>DATE(YEAR(Setup!$C$4),MONTH(Setup!$C$4),DAY(Setup!$C$4)+((D35-1)*7)+(E35-WEEKDAY(DATE(YEAR(Setup!$C$4),MONTH(Setup!$C$4),DAY(Setup!$C$4)),1)))</f>
        <v/>
      </c>
      <c r="J35" s="26">
        <f>I35+3</f>
        <v/>
      </c>
      <c r="K35" s="26">
        <f>(I35 + (7 - WEEKDAY(I35,1))) + 1</f>
        <v/>
      </c>
      <c r="L35" s="23">
        <f>F35*G35</f>
        <v/>
      </c>
    </row>
    <row r="36">
      <c r="G36" s="2" t="n"/>
      <c r="H36" s="2" t="n"/>
      <c r="I36" s="26">
        <f>DATE(YEAR(Setup!$C$4),MONTH(Setup!$C$4),DAY(Setup!$C$4)+((D36-1)*7)+(E36-WEEKDAY(DATE(YEAR(Setup!$C$4),MONTH(Setup!$C$4),DAY(Setup!$C$4)),1)))</f>
        <v/>
      </c>
      <c r="J36" s="26">
        <f>I36+3</f>
        <v/>
      </c>
      <c r="K36" s="26">
        <f>(I36 + (7 - WEEKDAY(I36,1))) + 1</f>
        <v/>
      </c>
      <c r="L36" s="23">
        <f>F36*G36</f>
        <v/>
      </c>
    </row>
    <row r="37">
      <c r="G37" s="2" t="n"/>
      <c r="H37" s="2" t="n"/>
      <c r="I37" s="26">
        <f>DATE(YEAR(Setup!$C$4),MONTH(Setup!$C$4),DAY(Setup!$C$4)+((D37-1)*7)+(E37-WEEKDAY(DATE(YEAR(Setup!$C$4),MONTH(Setup!$C$4),DAY(Setup!$C$4)),1)))</f>
        <v/>
      </c>
      <c r="J37" s="26">
        <f>I37+3</f>
        <v/>
      </c>
      <c r="K37" s="26">
        <f>(I37 + (7 - WEEKDAY(I37,1))) + 1</f>
        <v/>
      </c>
      <c r="L37" s="23">
        <f>F37*G37</f>
        <v/>
      </c>
    </row>
    <row r="38">
      <c r="G38" s="2" t="n"/>
      <c r="H38" s="2" t="n"/>
      <c r="I38" s="26">
        <f>DATE(YEAR(Setup!$C$4),MONTH(Setup!$C$4),DAY(Setup!$C$4)+((D38-1)*7)+(E38-WEEKDAY(DATE(YEAR(Setup!$C$4),MONTH(Setup!$C$4),DAY(Setup!$C$4)),1)))</f>
        <v/>
      </c>
      <c r="J38" s="26">
        <f>I38+3</f>
        <v/>
      </c>
      <c r="K38" s="26">
        <f>(I38 + (7 - WEEKDAY(I38,1))) + 1</f>
        <v/>
      </c>
      <c r="L38" s="23">
        <f>F38*G38</f>
        <v/>
      </c>
    </row>
    <row r="39">
      <c r="B39" s="3" t="n"/>
      <c r="G39" s="2" t="n"/>
      <c r="H39" s="2" t="n"/>
      <c r="I39" s="26">
        <f>DATE(YEAR(Setup!$C$4),MONTH(Setup!$C$4),DAY(Setup!$C$4)+((D39-1)*7)+(E39-WEEKDAY(DATE(YEAR(Setup!$C$4),MONTH(Setup!$C$4),DAY(Setup!$C$4)),1)))</f>
        <v/>
      </c>
      <c r="J39" s="26">
        <f>I39+3</f>
        <v/>
      </c>
      <c r="K39" s="26">
        <f>(I39 + (7 - WEEKDAY(I39,1))) + 1</f>
        <v/>
      </c>
      <c r="L39" s="23">
        <f>F39*G39</f>
        <v/>
      </c>
    </row>
    <row r="40">
      <c r="G40" s="2" t="n"/>
      <c r="H40" s="2" t="n"/>
      <c r="I40" s="26">
        <f>DATE(YEAR(Setup!$C$4),MONTH(Setup!$C$4),DAY(Setup!$C$4)+((D40-1)*7)+(E40-WEEKDAY(DATE(YEAR(Setup!$C$4),MONTH(Setup!$C$4),DAY(Setup!$C$4)),1)))</f>
        <v/>
      </c>
      <c r="J40" s="26">
        <f>I40+3</f>
        <v/>
      </c>
      <c r="K40" s="26">
        <f>(I40 + (7 - WEEKDAY(I40,1))) + 1</f>
        <v/>
      </c>
      <c r="L40" s="23">
        <f>F40*G40</f>
        <v/>
      </c>
    </row>
    <row r="41">
      <c r="G41" s="2" t="n"/>
      <c r="H41" s="2" t="n"/>
      <c r="I41" s="26">
        <f>DATE(YEAR(Setup!$C$4),MONTH(Setup!$C$4),DAY(Setup!$C$4)+((D41-1)*7)+(E41-WEEKDAY(DATE(YEAR(Setup!$C$4),MONTH(Setup!$C$4),DAY(Setup!$C$4)),1)))</f>
        <v/>
      </c>
      <c r="J41" s="26">
        <f>I41+3</f>
        <v/>
      </c>
      <c r="K41" s="26">
        <f>(I41 + (7 - WEEKDAY(I41,1))) + 1</f>
        <v/>
      </c>
      <c r="L41" s="23">
        <f>F41*G41</f>
        <v/>
      </c>
    </row>
    <row r="42">
      <c r="G42" s="2" t="n"/>
      <c r="H42" s="2" t="n"/>
      <c r="I42" s="26">
        <f>DATE(YEAR(Setup!$C$4),MONTH(Setup!$C$4),DAY(Setup!$C$4)+((D42-1)*7)+(E42-WEEKDAY(DATE(YEAR(Setup!$C$4),MONTH(Setup!$C$4),DAY(Setup!$C$4)),1)))</f>
        <v/>
      </c>
      <c r="J42" s="26">
        <f>I42+3</f>
        <v/>
      </c>
      <c r="K42" s="26">
        <f>(I42 + (7 - WEEKDAY(I42,1))) + 1</f>
        <v/>
      </c>
      <c r="L42" s="23">
        <f>F42*G42</f>
        <v/>
      </c>
    </row>
    <row r="43">
      <c r="G43" s="2" t="n"/>
      <c r="H43" s="2" t="n"/>
      <c r="I43" s="26">
        <f>DATE(YEAR(Setup!$C$4),MONTH(Setup!$C$4),DAY(Setup!$C$4)+((D43-1)*7)+(E43-WEEKDAY(DATE(YEAR(Setup!$C$4),MONTH(Setup!$C$4),DAY(Setup!$C$4)),1)))</f>
        <v/>
      </c>
      <c r="J43" s="26">
        <f>I43+3</f>
        <v/>
      </c>
      <c r="K43" s="26">
        <f>(I43 + (7 - WEEKDAY(I43,1))) + 1</f>
        <v/>
      </c>
      <c r="L43" s="23">
        <f>F43*G43</f>
        <v/>
      </c>
    </row>
    <row r="44">
      <c r="G44" s="2" t="n"/>
      <c r="H44" s="2" t="n"/>
      <c r="I44" s="26">
        <f>DATE(YEAR(Setup!$C$4),MONTH(Setup!$C$4),DAY(Setup!$C$4)+((D44-1)*7)+(E44-WEEKDAY(DATE(YEAR(Setup!$C$4),MONTH(Setup!$C$4),DAY(Setup!$C$4)),1)))</f>
        <v/>
      </c>
      <c r="J44" s="26">
        <f>I44+3</f>
        <v/>
      </c>
      <c r="K44" s="26">
        <f>(I44 + (7 - WEEKDAY(I44,1))) + 1</f>
        <v/>
      </c>
      <c r="L44" s="23">
        <f>F44*G44</f>
        <v/>
      </c>
    </row>
    <row r="45">
      <c r="G45" s="2" t="n"/>
      <c r="H45" s="2" t="n"/>
      <c r="I45" s="26">
        <f>DATE(YEAR(Setup!$C$4),MONTH(Setup!$C$4),DAY(Setup!$C$4)+((D45-1)*7)+(E45-WEEKDAY(DATE(YEAR(Setup!$C$4),MONTH(Setup!$C$4),DAY(Setup!$C$4)),1)))</f>
        <v/>
      </c>
      <c r="J45" s="26">
        <f>I45+3</f>
        <v/>
      </c>
      <c r="K45" s="26">
        <f>(I45 + (7 - WEEKDAY(I45,1))) + 1</f>
        <v/>
      </c>
      <c r="L45" s="23">
        <f>F45*G45</f>
        <v/>
      </c>
    </row>
    <row r="46">
      <c r="G46" s="2" t="n"/>
      <c r="H46" s="2" t="n"/>
      <c r="I46" s="26">
        <f>DATE(YEAR(Setup!$C$4),MONTH(Setup!$C$4),DAY(Setup!$C$4)+((D46-1)*7)+(E46-WEEKDAY(DATE(YEAR(Setup!$C$4),MONTH(Setup!$C$4),DAY(Setup!$C$4)),1)))</f>
        <v/>
      </c>
      <c r="J46" s="26">
        <f>I46+3</f>
        <v/>
      </c>
      <c r="K46" s="26">
        <f>(I46 + (7 - WEEKDAY(I46,1))) + 1</f>
        <v/>
      </c>
      <c r="L46" s="23">
        <f>F46*G46</f>
        <v/>
      </c>
    </row>
    <row r="47">
      <c r="G47" s="2" t="n"/>
      <c r="H47" s="2" t="n"/>
      <c r="I47" s="26">
        <f>DATE(YEAR(Setup!$C$4),MONTH(Setup!$C$4),DAY(Setup!$C$4)+((D47-1)*7)+(E47-WEEKDAY(DATE(YEAR(Setup!$C$4),MONTH(Setup!$C$4),DAY(Setup!$C$4)),1)))</f>
        <v/>
      </c>
      <c r="J47" s="26">
        <f>I47+3</f>
        <v/>
      </c>
      <c r="K47" s="26">
        <f>(I47 + (7 - WEEKDAY(I47,1))) + 1</f>
        <v/>
      </c>
      <c r="L47" s="23">
        <f>F47*G47</f>
        <v/>
      </c>
    </row>
    <row r="48">
      <c r="G48" s="2" t="n"/>
      <c r="H48" s="2" t="n"/>
      <c r="I48" s="26">
        <f>DATE(YEAR(Setup!$C$4),MONTH(Setup!$C$4),DAY(Setup!$C$4)+((D48-1)*7)+(E48-WEEKDAY(DATE(YEAR(Setup!$C$4),MONTH(Setup!$C$4),DAY(Setup!$C$4)),1)))</f>
        <v/>
      </c>
      <c r="J48" s="26">
        <f>I48+3</f>
        <v/>
      </c>
      <c r="K48" s="26">
        <f>(I48 + (7 - WEEKDAY(I48,1))) + 1</f>
        <v/>
      </c>
      <c r="L48" s="23">
        <f>F48*G48</f>
        <v/>
      </c>
    </row>
    <row r="49">
      <c r="G49" s="2" t="n"/>
      <c r="H49" s="2" t="n"/>
      <c r="I49" s="26">
        <f>DATE(YEAR(Setup!$C$4),MONTH(Setup!$C$4),DAY(Setup!$C$4)+((D49-1)*7)+(E49-WEEKDAY(DATE(YEAR(Setup!$C$4),MONTH(Setup!$C$4),DAY(Setup!$C$4)),1)))</f>
        <v/>
      </c>
      <c r="J49" s="26">
        <f>I49+3</f>
        <v/>
      </c>
      <c r="K49" s="26">
        <f>(I49 + (7 - WEEKDAY(I49,1))) + 1</f>
        <v/>
      </c>
      <c r="L49" s="23">
        <f>F49*G49</f>
        <v/>
      </c>
    </row>
    <row r="50">
      <c r="G50" s="2" t="n"/>
      <c r="H50" s="2" t="n"/>
      <c r="I50" s="26">
        <f>DATE(YEAR(Setup!$C$4),MONTH(Setup!$C$4),DAY(Setup!$C$4)+((D50-1)*7)+(E50-WEEKDAY(DATE(YEAR(Setup!$C$4),MONTH(Setup!$C$4),DAY(Setup!$C$4)),1)))</f>
        <v/>
      </c>
      <c r="J50" s="26">
        <f>I50+3</f>
        <v/>
      </c>
      <c r="K50" s="26">
        <f>(I50 + (7 - WEEKDAY(I50,1))) + 1</f>
        <v/>
      </c>
      <c r="L50" s="23">
        <f>F50*G50</f>
        <v/>
      </c>
    </row>
    <row r="51">
      <c r="G51" s="2" t="n"/>
      <c r="H51" s="2" t="n"/>
      <c r="I51" s="26">
        <f>DATE(YEAR(Setup!$C$4),MONTH(Setup!$C$4),DAY(Setup!$C$4)+((D51-1)*7)+(E51-WEEKDAY(DATE(YEAR(Setup!$C$4),MONTH(Setup!$C$4),DAY(Setup!$C$4)),1)))</f>
        <v/>
      </c>
      <c r="J51" s="26">
        <f>I51+3</f>
        <v/>
      </c>
      <c r="K51" s="26">
        <f>(I51 + (7 - WEEKDAY(I51,1))) + 1</f>
        <v/>
      </c>
      <c r="L51" s="23">
        <f>F51*G51</f>
        <v/>
      </c>
    </row>
    <row r="52">
      <c r="G52" s="2" t="n"/>
      <c r="H52" s="2" t="n"/>
      <c r="I52" s="26">
        <f>DATE(YEAR(Setup!$C$4),MONTH(Setup!$C$4),DAY(Setup!$C$4)+((D52-1)*7)+(E52-WEEKDAY(DATE(YEAR(Setup!$C$4),MONTH(Setup!$C$4),DAY(Setup!$C$4)),1)))</f>
        <v/>
      </c>
      <c r="J52" s="26">
        <f>I52+3</f>
        <v/>
      </c>
      <c r="K52" s="26">
        <f>(I52 + (7 - WEEKDAY(I52,1))) + 1</f>
        <v/>
      </c>
      <c r="L52" s="23">
        <f>F52*G52</f>
        <v/>
      </c>
    </row>
    <row r="53">
      <c r="G53" s="2" t="n"/>
      <c r="H53" s="2" t="n"/>
      <c r="I53" s="26">
        <f>DATE(YEAR(Setup!$C$4),MONTH(Setup!$C$4),DAY(Setup!$C$4)+((D53-1)*7)+(E53-WEEKDAY(DATE(YEAR(Setup!$C$4),MONTH(Setup!$C$4),DAY(Setup!$C$4)),1)))</f>
        <v/>
      </c>
      <c r="J53" s="26">
        <f>I53+3</f>
        <v/>
      </c>
      <c r="K53" s="26">
        <f>(I53 + (7 - WEEKDAY(I53,1))) + 1</f>
        <v/>
      </c>
      <c r="L53" s="23">
        <f>F53*G53</f>
        <v/>
      </c>
    </row>
    <row r="54">
      <c r="G54" s="2" t="n"/>
      <c r="H54" s="2" t="n"/>
      <c r="I54" s="26">
        <f>DATE(YEAR(Setup!$C$4),MONTH(Setup!$C$4),DAY(Setup!$C$4)+((D54-1)*7)+(E54-WEEKDAY(DATE(YEAR(Setup!$C$4),MONTH(Setup!$C$4),DAY(Setup!$C$4)),1)))</f>
        <v/>
      </c>
      <c r="J54" s="26">
        <f>I54+3</f>
        <v/>
      </c>
      <c r="K54" s="26">
        <f>(I54 + (7 - WEEKDAY(I54,1))) + 1</f>
        <v/>
      </c>
      <c r="L54" s="23">
        <f>F54*G54</f>
        <v/>
      </c>
    </row>
    <row r="55">
      <c r="G55" s="2" t="n"/>
      <c r="H55" s="2" t="n"/>
      <c r="I55" s="26">
        <f>DATE(YEAR(Setup!$C$4),MONTH(Setup!$C$4),DAY(Setup!$C$4)+((D55-1)*7)+(E55-WEEKDAY(DATE(YEAR(Setup!$C$4),MONTH(Setup!$C$4),DAY(Setup!$C$4)),1)))</f>
        <v/>
      </c>
      <c r="J55" s="26">
        <f>I55+3</f>
        <v/>
      </c>
      <c r="K55" s="26">
        <f>(I55 + (7 - WEEKDAY(I55,1))) + 1</f>
        <v/>
      </c>
      <c r="L55" s="23">
        <f>F55*G55</f>
        <v/>
      </c>
    </row>
    <row r="56">
      <c r="G56" s="2" t="n"/>
      <c r="H56" s="2" t="n"/>
      <c r="I56" s="26">
        <f>DATE(YEAR(Setup!$C$4),MONTH(Setup!$C$4),DAY(Setup!$C$4)+((D56-1)*7)+(E56-WEEKDAY(DATE(YEAR(Setup!$C$4),MONTH(Setup!$C$4),DAY(Setup!$C$4)),1)))</f>
        <v/>
      </c>
      <c r="J56" s="26">
        <f>I56+3</f>
        <v/>
      </c>
      <c r="K56" s="26">
        <f>(I56 + (7 - WEEKDAY(I56,1))) + 1</f>
        <v/>
      </c>
      <c r="L56" s="23">
        <f>F56*G56</f>
        <v/>
      </c>
    </row>
    <row r="57">
      <c r="G57" s="2" t="n"/>
      <c r="H57" s="2" t="n"/>
      <c r="I57" s="26">
        <f>DATE(YEAR(Setup!$C$4),MONTH(Setup!$C$4),DAY(Setup!$C$4)+((D57-1)*7)+(E57-WEEKDAY(DATE(YEAR(Setup!$C$4),MONTH(Setup!$C$4),DAY(Setup!$C$4)),1)))</f>
        <v/>
      </c>
      <c r="J57" s="26">
        <f>I57+3</f>
        <v/>
      </c>
      <c r="K57" s="26">
        <f>(I57 + (7 - WEEKDAY(I57,1))) + 1</f>
        <v/>
      </c>
      <c r="L57" s="23">
        <f>F57*G57</f>
        <v/>
      </c>
    </row>
    <row r="58">
      <c r="G58" s="2" t="n"/>
      <c r="H58" s="2" t="n"/>
      <c r="I58" s="26">
        <f>DATE(YEAR(Setup!$C$4),MONTH(Setup!$C$4),DAY(Setup!$C$4)+((D58-1)*7)+(E58-WEEKDAY(DATE(YEAR(Setup!$C$4),MONTH(Setup!$C$4),DAY(Setup!$C$4)),1)))</f>
        <v/>
      </c>
      <c r="J58" s="26">
        <f>I58+3</f>
        <v/>
      </c>
      <c r="K58" s="26">
        <f>(I58 + (7 - WEEKDAY(I58,1))) + 1</f>
        <v/>
      </c>
      <c r="L58" s="23">
        <f>F58*G58</f>
        <v/>
      </c>
    </row>
    <row r="59">
      <c r="G59" s="2" t="n"/>
      <c r="H59" s="2" t="n"/>
      <c r="I59" s="26">
        <f>DATE(YEAR(Setup!$C$4),MONTH(Setup!$C$4),DAY(Setup!$C$4)+((D59-1)*7)+(E59-WEEKDAY(DATE(YEAR(Setup!$C$4),MONTH(Setup!$C$4),DAY(Setup!$C$4)),1)))</f>
        <v/>
      </c>
      <c r="J59" s="26">
        <f>I59+3</f>
        <v/>
      </c>
      <c r="K59" s="26">
        <f>(I59 + (7 - WEEKDAY(I59,1))) + 1</f>
        <v/>
      </c>
      <c r="L59" s="23">
        <f>F59*G59</f>
        <v/>
      </c>
    </row>
    <row r="60">
      <c r="G60" s="2" t="n"/>
      <c r="H60" s="2" t="n"/>
      <c r="I60" s="26">
        <f>DATE(YEAR(Setup!$C$4),MONTH(Setup!$C$4),DAY(Setup!$C$4)+((D60-1)*7)+(E60-WEEKDAY(DATE(YEAR(Setup!$C$4),MONTH(Setup!$C$4),DAY(Setup!$C$4)),1)))</f>
        <v/>
      </c>
      <c r="J60" s="26">
        <f>I60+3</f>
        <v/>
      </c>
      <c r="K60" s="26">
        <f>(I60 + (7 - WEEKDAY(I60,1))) + 1</f>
        <v/>
      </c>
      <c r="L60" s="23">
        <f>F60*G60</f>
        <v/>
      </c>
    </row>
    <row r="61">
      <c r="G61" s="2" t="n"/>
      <c r="H61" s="2" t="n"/>
      <c r="I61" s="26">
        <f>DATE(YEAR(Setup!$C$4),MONTH(Setup!$C$4),DAY(Setup!$C$4)+((D61-1)*7)+(E61-WEEKDAY(DATE(YEAR(Setup!$C$4),MONTH(Setup!$C$4),DAY(Setup!$C$4)),1)))</f>
        <v/>
      </c>
      <c r="J61" s="26">
        <f>I61+3</f>
        <v/>
      </c>
      <c r="K61" s="26">
        <f>(I61 + (7 - WEEKDAY(I61,1))) + 1</f>
        <v/>
      </c>
      <c r="L61" s="23">
        <f>F61*G61</f>
        <v/>
      </c>
    </row>
    <row r="62">
      <c r="G62" s="2" t="n"/>
      <c r="H62" s="2" t="n"/>
      <c r="I62" s="26">
        <f>DATE(YEAR(Setup!$C$4),MONTH(Setup!$C$4),DAY(Setup!$C$4)+((D62-1)*7)+(E62-WEEKDAY(DATE(YEAR(Setup!$C$4),MONTH(Setup!$C$4),DAY(Setup!$C$4)),1)))</f>
        <v/>
      </c>
      <c r="J62" s="26">
        <f>I62+3</f>
        <v/>
      </c>
      <c r="K62" s="26">
        <f>(I62 + (7 - WEEKDAY(I62,1))) + 1</f>
        <v/>
      </c>
      <c r="L62" s="23">
        <f>F62*G62</f>
        <v/>
      </c>
    </row>
    <row r="63">
      <c r="G63" s="2" t="n"/>
      <c r="H63" s="2" t="n"/>
      <c r="I63" s="26">
        <f>DATE(YEAR(Setup!$C$4),MONTH(Setup!$C$4),DAY(Setup!$C$4)+((D63-1)*7)+(E63-WEEKDAY(DATE(YEAR(Setup!$C$4),MONTH(Setup!$C$4),DAY(Setup!$C$4)),1)))</f>
        <v/>
      </c>
      <c r="J63" s="26">
        <f>I63+3</f>
        <v/>
      </c>
      <c r="K63" s="26">
        <f>(I63 + (7 - WEEKDAY(I63,1))) + 1</f>
        <v/>
      </c>
      <c r="L63" s="23">
        <f>F63*G63</f>
        <v/>
      </c>
    </row>
    <row r="64">
      <c r="G64" s="2" t="n"/>
      <c r="H64" s="2" t="n"/>
      <c r="I64" s="26">
        <f>DATE(YEAR(Setup!$C$4),MONTH(Setup!$C$4),DAY(Setup!$C$4)+((D64-1)*7)+(E64-WEEKDAY(DATE(YEAR(Setup!$C$4),MONTH(Setup!$C$4),DAY(Setup!$C$4)),1)))</f>
        <v/>
      </c>
      <c r="J64" s="26">
        <f>I64+3</f>
        <v/>
      </c>
      <c r="K64" s="26">
        <f>(I64 + (7 - WEEKDAY(I64,1))) + 1</f>
        <v/>
      </c>
      <c r="L64" s="23">
        <f>F64*G64</f>
        <v/>
      </c>
    </row>
    <row r="65">
      <c r="G65" s="2" t="n"/>
      <c r="H65" s="2" t="n"/>
      <c r="I65" s="26">
        <f>DATE(YEAR(Setup!$C$4),MONTH(Setup!$C$4),DAY(Setup!$C$4)+((D65-1)*7)+(E65-WEEKDAY(DATE(YEAR(Setup!$C$4),MONTH(Setup!$C$4),DAY(Setup!$C$4)),1)))</f>
        <v/>
      </c>
      <c r="J65" s="26">
        <f>I65+3</f>
        <v/>
      </c>
      <c r="K65" s="26">
        <f>(I65 + (7 - WEEKDAY(I65,1))) + 1</f>
        <v/>
      </c>
      <c r="L65" s="23">
        <f>F65*G65</f>
        <v/>
      </c>
    </row>
    <row r="66">
      <c r="G66" s="2" t="n"/>
      <c r="H66" s="2" t="n"/>
      <c r="I66" s="26">
        <f>DATE(YEAR(Setup!$C$4),MONTH(Setup!$C$4),DAY(Setup!$C$4)+((D66-1)*7)+(E66-WEEKDAY(DATE(YEAR(Setup!$C$4),MONTH(Setup!$C$4),DAY(Setup!$C$4)),1)))</f>
        <v/>
      </c>
      <c r="J66" s="26">
        <f>I66+3</f>
        <v/>
      </c>
      <c r="K66" s="26">
        <f>(I66 + (7 - WEEKDAY(I66,1))) + 1</f>
        <v/>
      </c>
      <c r="L66" s="23">
        <f>F66*G66</f>
        <v/>
      </c>
    </row>
    <row r="67">
      <c r="G67" s="2" t="n"/>
      <c r="H67" s="2" t="n"/>
      <c r="I67" s="26">
        <f>DATE(YEAR(Setup!$C$4),MONTH(Setup!$C$4),DAY(Setup!$C$4)+((D67-1)*7)+(E67-WEEKDAY(DATE(YEAR(Setup!$C$4),MONTH(Setup!$C$4),DAY(Setup!$C$4)),1)))</f>
        <v/>
      </c>
      <c r="J67" s="26">
        <f>I67+3</f>
        <v/>
      </c>
      <c r="K67" s="26">
        <f>(I67 + (7 - WEEKDAY(I67,1))) + 1</f>
        <v/>
      </c>
      <c r="L67" s="23">
        <f>F67*G67</f>
        <v/>
      </c>
    </row>
    <row r="68">
      <c r="G68" s="2" t="n"/>
      <c r="H68" s="2" t="n"/>
      <c r="I68" s="26">
        <f>DATE(YEAR(Setup!$C$4),MONTH(Setup!$C$4),DAY(Setup!$C$4)+((D68-1)*7)+(E68-WEEKDAY(DATE(YEAR(Setup!$C$4),MONTH(Setup!$C$4),DAY(Setup!$C$4)),1)))</f>
        <v/>
      </c>
      <c r="J68" s="26">
        <f>I68+3</f>
        <v/>
      </c>
      <c r="K68" s="26">
        <f>(I68 + (7 - WEEKDAY(I68,1))) + 1</f>
        <v/>
      </c>
      <c r="L68" s="23">
        <f>F68*G68</f>
        <v/>
      </c>
    </row>
    <row r="69">
      <c r="G69" s="2" t="n"/>
      <c r="H69" s="2" t="n"/>
      <c r="I69" s="26">
        <f>DATE(YEAR(Setup!$C$4),MONTH(Setup!$C$4),DAY(Setup!$C$4)+((D69-1)*7)+(E69-WEEKDAY(DATE(YEAR(Setup!$C$4),MONTH(Setup!$C$4),DAY(Setup!$C$4)),1)))</f>
        <v/>
      </c>
      <c r="J69" s="26">
        <f>I69+3</f>
        <v/>
      </c>
      <c r="K69" s="26">
        <f>(I69 + (7 - WEEKDAY(I69,1))) + 1</f>
        <v/>
      </c>
      <c r="L69" s="23">
        <f>F69*G69</f>
        <v/>
      </c>
    </row>
    <row r="70">
      <c r="G70" s="2" t="n"/>
      <c r="H70" s="2" t="n"/>
      <c r="I70" s="26">
        <f>DATE(YEAR(Setup!$C$4),MONTH(Setup!$C$4),DAY(Setup!$C$4)+((D70-1)*7)+(E70-WEEKDAY(DATE(YEAR(Setup!$C$4),MONTH(Setup!$C$4),DAY(Setup!$C$4)),1)))</f>
        <v/>
      </c>
      <c r="J70" s="26">
        <f>I70+3</f>
        <v/>
      </c>
      <c r="K70" s="26">
        <f>(I70 + (7 - WEEKDAY(I70,1))) + 1</f>
        <v/>
      </c>
      <c r="L70" s="23">
        <f>F70*G70</f>
        <v/>
      </c>
    </row>
    <row r="71">
      <c r="G71" s="2" t="n"/>
      <c r="H71" s="2" t="n"/>
      <c r="I71" s="26">
        <f>DATE(YEAR(Setup!$C$4),MONTH(Setup!$C$4),DAY(Setup!$C$4)+((D71-1)*7)+(E71-WEEKDAY(DATE(YEAR(Setup!$C$4),MONTH(Setup!$C$4),DAY(Setup!$C$4)),1)))</f>
        <v/>
      </c>
      <c r="J71" s="26">
        <f>I71+3</f>
        <v/>
      </c>
      <c r="K71" s="26">
        <f>(I71 + (7 - WEEKDAY(I71,1))) + 1</f>
        <v/>
      </c>
      <c r="L71" s="23">
        <f>F71*G71</f>
        <v/>
      </c>
    </row>
    <row r="72">
      <c r="G72" s="2" t="n"/>
      <c r="H72" s="2" t="n"/>
      <c r="I72" s="26">
        <f>DATE(YEAR(Setup!$C$4),MONTH(Setup!$C$4),DAY(Setup!$C$4)+((D72-1)*7)+(E72-WEEKDAY(DATE(YEAR(Setup!$C$4),MONTH(Setup!$C$4),DAY(Setup!$C$4)),1)))</f>
        <v/>
      </c>
      <c r="J72" s="26">
        <f>I72+3</f>
        <v/>
      </c>
      <c r="K72" s="26">
        <f>(I72 + (7 - WEEKDAY(I72,1))) + 1</f>
        <v/>
      </c>
      <c r="L72" s="23">
        <f>F72*G72</f>
        <v/>
      </c>
    </row>
    <row r="73">
      <c r="G73" s="2" t="n"/>
      <c r="H73" s="2" t="n"/>
      <c r="I73" s="26">
        <f>DATE(YEAR(Setup!$C$4),MONTH(Setup!$C$4),DAY(Setup!$C$4)+((D73-1)*7)+(E73-WEEKDAY(DATE(YEAR(Setup!$C$4),MONTH(Setup!$C$4),DAY(Setup!$C$4)),1)))</f>
        <v/>
      </c>
      <c r="J73" s="26">
        <f>I73+3</f>
        <v/>
      </c>
      <c r="K73" s="26">
        <f>(I73 + (7 - WEEKDAY(I73,1))) + 1</f>
        <v/>
      </c>
      <c r="L73" s="23">
        <f>F73*G73</f>
        <v/>
      </c>
    </row>
    <row r="74">
      <c r="G74" s="2" t="n"/>
      <c r="H74" s="2" t="n"/>
      <c r="I74" s="26">
        <f>DATE(YEAR(Setup!$C$4),MONTH(Setup!$C$4),DAY(Setup!$C$4)+((D74-1)*7)+(E74-WEEKDAY(DATE(YEAR(Setup!$C$4),MONTH(Setup!$C$4),DAY(Setup!$C$4)),1)))</f>
        <v/>
      </c>
      <c r="J74" s="26">
        <f>I74+3</f>
        <v/>
      </c>
      <c r="K74" s="26">
        <f>(I74 + (7 - WEEKDAY(I74,1))) + 1</f>
        <v/>
      </c>
      <c r="L74" s="23">
        <f>F74*G74</f>
        <v/>
      </c>
    </row>
    <row r="75">
      <c r="G75" s="2" t="n"/>
      <c r="H75" s="2" t="n"/>
      <c r="I75" s="26">
        <f>DATE(YEAR(Setup!$C$4),MONTH(Setup!$C$4),DAY(Setup!$C$4)+((D75-1)*7)+(E75-WEEKDAY(DATE(YEAR(Setup!$C$4),MONTH(Setup!$C$4),DAY(Setup!$C$4)),1)))</f>
        <v/>
      </c>
      <c r="J75" s="26">
        <f>I75+3</f>
        <v/>
      </c>
      <c r="K75" s="26">
        <f>(I75 + (7 - WEEKDAY(I75,1))) + 1</f>
        <v/>
      </c>
      <c r="L75" s="23">
        <f>F75*G75</f>
        <v/>
      </c>
    </row>
    <row r="76">
      <c r="G76" s="2" t="n"/>
      <c r="H76" s="2" t="n"/>
      <c r="I76" s="26">
        <f>DATE(YEAR(Setup!$C$4),MONTH(Setup!$C$4),DAY(Setup!$C$4)+((D76-1)*7)+(E76-WEEKDAY(DATE(YEAR(Setup!$C$4),MONTH(Setup!$C$4),DAY(Setup!$C$4)),1)))</f>
        <v/>
      </c>
      <c r="J76" s="26">
        <f>I76+3</f>
        <v/>
      </c>
      <c r="K76" s="26">
        <f>(I76 + (7 - WEEKDAY(I76,1))) + 1</f>
        <v/>
      </c>
      <c r="L76" s="23">
        <f>F76*G76</f>
        <v/>
      </c>
    </row>
    <row r="77">
      <c r="G77" s="2" t="n"/>
      <c r="H77" s="2" t="n"/>
      <c r="I77" s="26">
        <f>DATE(YEAR(Setup!$C$4),MONTH(Setup!$C$4),DAY(Setup!$C$4)+((D77-1)*7)+(E77-WEEKDAY(DATE(YEAR(Setup!$C$4),MONTH(Setup!$C$4),DAY(Setup!$C$4)),1)))</f>
        <v/>
      </c>
      <c r="J77" s="26">
        <f>I77+3</f>
        <v/>
      </c>
      <c r="K77" s="26">
        <f>(I77 + (7 - WEEKDAY(I77,1))) + 1</f>
        <v/>
      </c>
      <c r="L77" s="23">
        <f>F77*G77</f>
        <v/>
      </c>
    </row>
    <row r="78">
      <c r="G78" s="2" t="n"/>
      <c r="H78" s="2" t="n"/>
      <c r="I78" s="26">
        <f>DATE(YEAR(Setup!$C$4),MONTH(Setup!$C$4),DAY(Setup!$C$4)+((D78-1)*7)+(E78-WEEKDAY(DATE(YEAR(Setup!$C$4),MONTH(Setup!$C$4),DAY(Setup!$C$4)),1)))</f>
        <v/>
      </c>
      <c r="J78" s="26">
        <f>I78+3</f>
        <v/>
      </c>
      <c r="K78" s="26">
        <f>(I78 + (7 - WEEKDAY(I78,1))) + 1</f>
        <v/>
      </c>
      <c r="L78" s="23">
        <f>F78*G78</f>
        <v/>
      </c>
    </row>
    <row r="79">
      <c r="G79" s="2" t="n"/>
      <c r="H79" s="2" t="n"/>
      <c r="I79" s="26">
        <f>DATE(YEAR(Setup!$C$4),MONTH(Setup!$C$4),DAY(Setup!$C$4)+((D79-1)*7)+(E79-WEEKDAY(DATE(YEAR(Setup!$C$4),MONTH(Setup!$C$4),DAY(Setup!$C$4)),1)))</f>
        <v/>
      </c>
      <c r="J79" s="26">
        <f>I79+3</f>
        <v/>
      </c>
      <c r="K79" s="26">
        <f>(I79 + (7 - WEEKDAY(I79,1))) + 1</f>
        <v/>
      </c>
      <c r="L79" s="23">
        <f>F79*G79</f>
        <v/>
      </c>
    </row>
    <row r="80">
      <c r="G80" s="2" t="n"/>
      <c r="H80" s="2" t="n"/>
      <c r="I80" s="26">
        <f>DATE(YEAR(Setup!$C$4),MONTH(Setup!$C$4),DAY(Setup!$C$4)+((D80-1)*7)+(E80-WEEKDAY(DATE(YEAR(Setup!$C$4),MONTH(Setup!$C$4),DAY(Setup!$C$4)),1)))</f>
        <v/>
      </c>
      <c r="J80" s="26">
        <f>I80+3</f>
        <v/>
      </c>
      <c r="K80" s="26">
        <f>(I80 + (7 - WEEKDAY(I80,1))) + 1</f>
        <v/>
      </c>
      <c r="L80" s="23">
        <f>F80*G80</f>
        <v/>
      </c>
    </row>
    <row r="81">
      <c r="G81" s="2" t="n"/>
      <c r="H81" s="2" t="n"/>
      <c r="I81" s="26">
        <f>DATE(YEAR(Setup!$C$4),MONTH(Setup!$C$4),DAY(Setup!$C$4)+((D81-1)*7)+(E81-WEEKDAY(DATE(YEAR(Setup!$C$4),MONTH(Setup!$C$4),DAY(Setup!$C$4)),1)))</f>
        <v/>
      </c>
      <c r="J81" s="26">
        <f>I81+3</f>
        <v/>
      </c>
      <c r="K81" s="26">
        <f>(I81 + (7 - WEEKDAY(I81,1))) + 1</f>
        <v/>
      </c>
      <c r="L81" s="23">
        <f>F81*G81</f>
        <v/>
      </c>
    </row>
    <row r="82">
      <c r="G82" s="2" t="n"/>
      <c r="H82" s="2" t="n"/>
      <c r="I82" s="26">
        <f>DATE(YEAR(Setup!$C$4),MONTH(Setup!$C$4),DAY(Setup!$C$4)+((D82-1)*7)+(E82-WEEKDAY(DATE(YEAR(Setup!$C$4),MONTH(Setup!$C$4),DAY(Setup!$C$4)),1)))</f>
        <v/>
      </c>
      <c r="J82" s="26">
        <f>I82+3</f>
        <v/>
      </c>
      <c r="K82" s="26">
        <f>(I82 + (7 - WEEKDAY(I82,1))) + 1</f>
        <v/>
      </c>
      <c r="L82" s="23">
        <f>F82*G82</f>
        <v/>
      </c>
    </row>
    <row r="83">
      <c r="G83" s="2" t="n"/>
      <c r="H83" s="2" t="n"/>
      <c r="I83" s="26">
        <f>DATE(YEAR(Setup!$C$4),MONTH(Setup!$C$4),DAY(Setup!$C$4)+((D83-1)*7)+(E83-WEEKDAY(DATE(YEAR(Setup!$C$4),MONTH(Setup!$C$4),DAY(Setup!$C$4)),1)))</f>
        <v/>
      </c>
      <c r="J83" s="26">
        <f>I83+3</f>
        <v/>
      </c>
      <c r="K83" s="26">
        <f>(I83 + (7 - WEEKDAY(I83,1))) + 1</f>
        <v/>
      </c>
      <c r="L83" s="23">
        <f>F83*G83</f>
        <v/>
      </c>
    </row>
    <row r="84">
      <c r="G84" s="2" t="n"/>
      <c r="H84" s="2" t="n"/>
      <c r="I84" s="26">
        <f>DATE(YEAR(Setup!$C$4),MONTH(Setup!$C$4),DAY(Setup!$C$4)+((D84-1)*7)+(E84-WEEKDAY(DATE(YEAR(Setup!$C$4),MONTH(Setup!$C$4),DAY(Setup!$C$4)),1)))</f>
        <v/>
      </c>
      <c r="J84" s="26">
        <f>I84+3</f>
        <v/>
      </c>
      <c r="K84" s="26">
        <f>(I84 + (7 - WEEKDAY(I84,1))) + 1</f>
        <v/>
      </c>
      <c r="L84" s="23">
        <f>F84*G84</f>
        <v/>
      </c>
    </row>
    <row r="85">
      <c r="G85" s="2" t="n"/>
      <c r="H85" s="2" t="n"/>
      <c r="I85" s="26">
        <f>DATE(YEAR(Setup!$C$4),MONTH(Setup!$C$4),DAY(Setup!$C$4)+((D85-1)*7)+(E85-WEEKDAY(DATE(YEAR(Setup!$C$4),MONTH(Setup!$C$4),DAY(Setup!$C$4)),1)))</f>
        <v/>
      </c>
      <c r="J85" s="26">
        <f>I85+3</f>
        <v/>
      </c>
      <c r="K85" s="26">
        <f>(I85 + (7 - WEEKDAY(I85,1))) + 1</f>
        <v/>
      </c>
      <c r="L85" s="23">
        <f>F85*G85</f>
        <v/>
      </c>
    </row>
  </sheetData>
  <sheetProtection selectLockedCells="1" selectUnlockedCells="0" algorithmName="SHA-512" sheet="1" objects="0" insertRows="0" insertHyperlinks="1" autoFilter="0" scenarios="0" formatColumns="1" deleteColumns="1" insertColumns="1" pivotTables="1" deleteRows="0" formatCells="0" saltValue="KksHpjvnNUwSvu8sqm0U2A==" formatRows="0" sort="0" spinCount="100000" hashValue="iUK/K/akyzV2WE9daMIxtwT3ZqkenYF55/fTAd9TfOrPxAtXsNNmAFPraipDqIKwIoE6OTfQ+ORSN6uTrA18Qw=="/>
  <autoFilter ref="A1:N85">
    <sortState ref="A2:N85">
      <sortCondition ref="D1:D85"/>
    </sortState>
  </autoFilter>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0.xml><?xml version="1.0" encoding="utf-8"?>
<worksheet xmlns="http://schemas.openxmlformats.org/spreadsheetml/2006/main">
  <sheetPr codeName="Sheet8">
    <tabColor rgb="FF0070C0"/>
    <outlinePr summaryBelow="1" summaryRight="1"/>
    <pageSetUpPr/>
  </sheetPr>
  <dimension ref="A1:N75"/>
  <sheetViews>
    <sheetView workbookViewId="0">
      <pane xSplit="3" topLeftCell="D1" activePane="topRight" state="frozen"/>
      <selection pane="topRight" activeCell="M24" sqref="M24"/>
    </sheetView>
  </sheetViews>
  <sheetFormatPr baseColWidth="8" defaultColWidth="8.85546875" defaultRowHeight="15"/>
  <cols>
    <col width="13" customWidth="1" style="1" min="1" max="1"/>
    <col width="24.28515625" customWidth="1" style="1" min="2" max="2"/>
    <col width="31.85546875" customWidth="1" style="1" min="3" max="3"/>
    <col width="14.42578125" customWidth="1" style="1" min="4" max="4"/>
    <col width="14" customWidth="1" style="1" min="5" max="6"/>
    <col width="14.140625" customWidth="1" style="1" min="7" max="7"/>
    <col hidden="1" width="22" customWidth="1" style="23" min="8" max="8"/>
    <col hidden="1" width="15.28515625" customWidth="1" style="23" min="9" max="9"/>
    <col hidden="1" width="17.7109375" customWidth="1" style="23" min="10" max="10"/>
    <col hidden="1" width="12.85546875" customWidth="1" style="23" min="11" max="11"/>
    <col hidden="1" width="54.7109375" customWidth="1" style="1" min="12" max="12"/>
    <col width="119.140625" customWidth="1" style="1" min="13" max="13"/>
    <col width="8.85546875" customWidth="1" style="1" min="14"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CSE310</t>
        </is>
      </c>
      <c r="B2" s="1" t="inlineStr">
        <is>
          <t>New Student Added</t>
        </is>
      </c>
      <c r="D2" s="23" t="n">
        <v>0</v>
      </c>
      <c r="E2" s="23" t="n">
        <v>2</v>
      </c>
      <c r="F2" s="23" t="n"/>
      <c r="G2" s="24" t="n"/>
      <c r="H2" s="24" t="inlineStr">
        <is>
          <t>y</t>
        </is>
      </c>
      <c r="I2" s="26">
        <f>DATE(YEAR(Setup!$C$4),MONTH(Setup!$C$4),DAY(Setup!$C$4)+((D2-1)*7)+(E2-WEEKDAY(DATE(YEAR(Setup!$C$4),MONTH(Setup!$C$4),DAY(Setup!$C$4)),1)))</f>
        <v/>
      </c>
      <c r="J2" s="26">
        <f>I2+3</f>
        <v/>
      </c>
      <c r="K2" s="26">
        <f>(I2 + (7 - WEEKDAY(I2,1))) + 1</f>
        <v/>
      </c>
      <c r="L2" s="23">
        <f>F2*G2</f>
        <v/>
      </c>
      <c r="M2" s="1" t="inlineStr">
        <is>
          <t>E-mail de Boas-vindas</t>
        </is>
      </c>
      <c r="N2" s="1" t="inlineStr">
        <is>
          <t>Boas-vindas aos alunos no seu curso</t>
        </is>
      </c>
    </row>
    <row r="3">
      <c r="A3" s="1" t="inlineStr">
        <is>
          <t>CSE310</t>
        </is>
      </c>
      <c r="B3" s="1" t="inlineStr">
        <is>
          <t>Scheduled - Not Logged In</t>
        </is>
      </c>
      <c r="C3" s="1" t="inlineStr">
        <is>
          <t>Não entrou</t>
        </is>
      </c>
      <c r="D3" s="23" t="n">
        <v>1</v>
      </c>
      <c r="E3" s="23" t="n">
        <v>4</v>
      </c>
      <c r="F3" s="23" t="n"/>
      <c r="G3" s="24" t="n"/>
      <c r="H3" s="24" t="inlineStr">
        <is>
          <t>y</t>
        </is>
      </c>
      <c r="I3" s="26">
        <f>DATE(YEAR(Setup!$C$4),MONTH(Setup!$C$4),DAY(Setup!$C$4)+((D3-1)*7)+(E3-WEEKDAY(DATE(YEAR(Setup!$C$4),MONTH(Setup!$C$4),DAY(Setup!$C$4)),1)))</f>
        <v/>
      </c>
      <c r="J3" s="26">
        <f>I3+3</f>
        <v/>
      </c>
      <c r="K3" s="26">
        <f>(I3 + (7 - WEEKDAY(I3,1))) + 1</f>
        <v/>
      </c>
      <c r="L3" s="23">
        <f>F3*G3</f>
        <v/>
      </c>
      <c r="M3" s="1" t="inlineStr">
        <is>
          <t>Não fez login no Canvas</t>
        </is>
      </c>
      <c r="N3" s="43" t="inlineStr">
        <is>
          <t>Envie um e-mail (fora do IMS) para os estudantes que não fizeram login no Canvas, lembrando-os de que o período letivo começou e incentivando-os a começar.</t>
        </is>
      </c>
    </row>
    <row r="4">
      <c r="A4" s="1" t="inlineStr">
        <is>
          <t>CSE310</t>
        </is>
      </c>
      <c r="B4" s="1" t="inlineStr">
        <is>
          <t>Missing Assignment</t>
        </is>
      </c>
      <c r="C4" s="45" t="inlineStr">
        <is>
          <t>S01 - Atividade: Criar o Módulo Hello World</t>
        </is>
      </c>
      <c r="D4" s="23" t="n">
        <v>2</v>
      </c>
      <c r="E4" s="23" t="n">
        <v>2</v>
      </c>
      <c r="F4" s="23" t="n"/>
      <c r="G4" s="24" t="inlineStr">
        <is>
          <t xml:space="preserve"> </t>
        </is>
      </c>
      <c r="H4" s="24" t="inlineStr">
        <is>
          <t>y</t>
        </is>
      </c>
      <c r="I4" s="26">
        <f>DATE(YEAR(Setup!$C$4),MONTH(Setup!$C$4),DAY(Setup!$C$4)+((D4-1)*7)+(E4-WEEKDAY(DATE(YEAR(Setup!$C$4),MONTH(Setup!$C$4),DAY(Setup!$C$4)),1)))</f>
        <v/>
      </c>
      <c r="J4" s="26">
        <f>I4+3</f>
        <v/>
      </c>
      <c r="K4" s="26">
        <f>(I4 + (7 - WEEKDAY(I4,1))) + 1</f>
        <v/>
      </c>
      <c r="L4" s="23">
        <f>F4*G4</f>
        <v/>
      </c>
      <c r="M4" s="1" t="inlineStr">
        <is>
          <t>Tarefa Pendente: Tarefa da W01: Criar Módulo Hello World</t>
        </is>
      </c>
      <c r="N4" s="1" t="inlineStr">
        <is>
          <t>Entre em contato com o aluno que não entregou  a Tarefa da W01: Criar Módulo Olá Mundo</t>
        </is>
      </c>
    </row>
    <row r="5">
      <c r="A5" s="1" t="inlineStr">
        <is>
          <t>CSE310</t>
        </is>
      </c>
      <c r="B5" s="1" t="inlineStr">
        <is>
          <t>Grader-Issued 0</t>
        </is>
      </c>
      <c r="C5" s="45" t="inlineStr">
        <is>
          <t>S01 - Atividade: Criar o Módulo Hello World</t>
        </is>
      </c>
      <c r="D5" s="23" t="n">
        <v>2</v>
      </c>
      <c r="E5" s="23" t="n">
        <v>4</v>
      </c>
      <c r="F5" s="23" t="n">
        <v>50</v>
      </c>
      <c r="G5" s="24" t="n"/>
      <c r="H5" s="24" t="inlineStr">
        <is>
          <t>y</t>
        </is>
      </c>
      <c r="I5" s="26">
        <f>DATE(YEAR(Setup!$C$4),MONTH(Setup!$C$4),DAY(Setup!$C$4)+((D5-1)*7)+(E5-WEEKDAY(DATE(YEAR(Setup!$C$4),MONTH(Setup!$C$4),DAY(Setup!$C$4)),1)))</f>
        <v/>
      </c>
      <c r="J5" s="26">
        <f>I5+3</f>
        <v/>
      </c>
      <c r="K5" s="26">
        <f>(I5 + (7 - WEEKDAY(I5,1))) + 1</f>
        <v/>
      </c>
      <c r="L5" s="23">
        <f>F5*G5</f>
        <v/>
      </c>
      <c r="M5" s="1" t="inlineStr">
        <is>
          <t>O aluno recebeu nota 0 atribuída pelo avaliador na Tarefa W01: Criar Módulo Olá Mundo</t>
        </is>
      </c>
      <c r="N5" s="44" t="inlineStr">
        <is>
          <t>O avaliador atribuiu nota 0 para a Tarefa da W01: Criar Módulo Hello WorldAcesse o Canvas e veja os comentários do avaliador. Trabalhe com o aluno para ajudá-lo a enviar novamente.</t>
        </is>
      </c>
    </row>
    <row r="6">
      <c r="A6" s="1" t="inlineStr">
        <is>
          <t>CSE310</t>
        </is>
      </c>
      <c r="B6" s="1" t="inlineStr">
        <is>
          <t>High Performance</t>
        </is>
      </c>
      <c r="C6" s="45" t="inlineStr">
        <is>
          <t>S01 - Atividade: Criar o Módulo Hello World</t>
        </is>
      </c>
      <c r="D6" s="23" t="n">
        <v>2</v>
      </c>
      <c r="E6" s="23" t="n">
        <v>5</v>
      </c>
      <c r="F6" s="23" t="n">
        <v>50</v>
      </c>
      <c r="G6" s="24" t="n">
        <v>0.9</v>
      </c>
      <c r="H6" s="24" t="inlineStr">
        <is>
          <t>y</t>
        </is>
      </c>
      <c r="I6" s="26">
        <f>DATE(YEAR(Setup!$C$4),MONTH(Setup!$C$4),DAY(Setup!$C$4)+((D6-1)*7)+(E6-WEEKDAY(DATE(YEAR(Setup!$C$4),MONTH(Setup!$C$4),DAY(Setup!$C$4)),1)))</f>
        <v/>
      </c>
      <c r="J6" s="26">
        <f>I6+3</f>
        <v/>
      </c>
      <c r="K6" s="26">
        <f>(I6 + (7 - WEEKDAY(I6,1))) + 1</f>
        <v/>
      </c>
      <c r="L6" s="23">
        <f>F6*G6</f>
        <v/>
      </c>
      <c r="M6" s="1" t="inlineStr">
        <is>
          <t>Alto desempenho: Tarefa W01: Create Hello World Module</t>
        </is>
      </c>
      <c r="N6" s="1" t="inlineStr">
        <is>
          <t>Fornecer Feedback Positivo na Tarefa da W01: Criar Módulo Hello World</t>
        </is>
      </c>
    </row>
    <row r="7">
      <c r="A7" s="1" t="inlineStr">
        <is>
          <t>CSE310</t>
        </is>
      </c>
      <c r="B7" s="1" t="inlineStr">
        <is>
          <t>Low Performance</t>
        </is>
      </c>
      <c r="C7" s="45" t="inlineStr">
        <is>
          <t>S01 - Atividade: Criar o Módulo Hello World</t>
        </is>
      </c>
      <c r="D7" s="23" t="n">
        <v>2</v>
      </c>
      <c r="E7" s="23" t="n">
        <v>5</v>
      </c>
      <c r="F7" s="23" t="n">
        <v>50</v>
      </c>
      <c r="G7" s="24" t="n">
        <v>0.7</v>
      </c>
      <c r="H7" s="24" t="inlineStr">
        <is>
          <t>y</t>
        </is>
      </c>
      <c r="I7" s="26">
        <f>DATE(YEAR(Setup!$C$4),MONTH(Setup!$C$4),DAY(Setup!$C$4)+((D7-1)*7)+(E7-WEEKDAY(DATE(YEAR(Setup!$C$4),MONTH(Setup!$C$4),DAY(Setup!$C$4)),1)))</f>
        <v/>
      </c>
      <c r="J7" s="26">
        <f>I7+3</f>
        <v/>
      </c>
      <c r="K7" s="26">
        <f>(I7 + (7 - WEEKDAY(I7,1))) + 1</f>
        <v/>
      </c>
      <c r="L7" s="23">
        <f>F7*G7</f>
        <v/>
      </c>
      <c r="M7" s="1" t="inlineStr">
        <is>
          <t>Baixo Desempenho: Tarefa da W01: Criar Módulo Olá Mundo</t>
        </is>
      </c>
      <c r="N7" s="1" t="inlineStr">
        <is>
          <t>Em risco. O aluno obteve nota abaixo de 70% na Tarefa W01: Criar Módulo Olá Mundo. Entre em contato para ver como você pode ajudar.</t>
        </is>
      </c>
    </row>
    <row r="8">
      <c r="A8" s="1" t="inlineStr">
        <is>
          <t>CSE310</t>
        </is>
      </c>
      <c r="B8" s="1" t="inlineStr">
        <is>
          <t>Missing Assignment</t>
        </is>
      </c>
      <c r="C8" s="45" t="inlineStr">
        <is>
          <t>S02 - Atividade: Enviar o Módulo 1</t>
        </is>
      </c>
      <c r="D8" s="23" t="n">
        <v>3</v>
      </c>
      <c r="E8" s="23" t="n">
        <v>2</v>
      </c>
      <c r="F8" s="23" t="n"/>
      <c r="G8" s="24" t="n"/>
      <c r="H8" s="24" t="inlineStr">
        <is>
          <t>y</t>
        </is>
      </c>
      <c r="I8" s="26">
        <f>DATE(YEAR(Setup!$C$4),MONTH(Setup!$C$4),DAY(Setup!$C$4)+((D8-1)*7)+(E8-WEEKDAY(DATE(YEAR(Setup!$C$4),MONTH(Setup!$C$4),DAY(Setup!$C$4)),1)))</f>
        <v/>
      </c>
      <c r="J8" s="26">
        <f>I8+3</f>
        <v/>
      </c>
      <c r="K8" s="26">
        <f>(I8 + (7 - WEEKDAY(I8,1))) + 1</f>
        <v/>
      </c>
      <c r="L8" s="23">
        <f>F8*G8</f>
        <v/>
      </c>
      <c r="M8" s="1" t="inlineStr">
        <is>
          <t>Tarefa pendente: Tarefa W02: Enviar Módulo nº 1</t>
        </is>
      </c>
      <c r="N8" s="1" t="inlineStr">
        <is>
          <t>Entre em contato com o aluno que não entregou a Tarefa da W02: Enviar Módulo #1</t>
        </is>
      </c>
    </row>
    <row r="9">
      <c r="A9" s="1" t="inlineStr">
        <is>
          <t>CSE310</t>
        </is>
      </c>
      <c r="B9" s="1" t="inlineStr">
        <is>
          <t>Grader-Issued 0</t>
        </is>
      </c>
      <c r="C9" s="45" t="inlineStr">
        <is>
          <t>S02 - Atividade: Enviar o Módulo 1</t>
        </is>
      </c>
      <c r="D9" s="23" t="n">
        <v>3</v>
      </c>
      <c r="E9" s="23" t="n">
        <v>4</v>
      </c>
      <c r="F9" s="23" t="n">
        <v>100</v>
      </c>
      <c r="G9" s="24" t="n"/>
      <c r="H9" s="24" t="inlineStr">
        <is>
          <t>y</t>
        </is>
      </c>
      <c r="I9" s="26">
        <f>DATE(YEAR(Setup!$C$4),MONTH(Setup!$C$4),DAY(Setup!$C$4)+((D9-1)*7)+(E9-WEEKDAY(DATE(YEAR(Setup!$C$4),MONTH(Setup!$C$4),DAY(Setup!$C$4)),1)))</f>
        <v/>
      </c>
      <c r="J9" s="26">
        <f>I9+3</f>
        <v/>
      </c>
      <c r="K9" s="26">
        <f>(I9 + (7 - WEEKDAY(I9,1))) + 1</f>
        <v/>
      </c>
      <c r="L9" s="23">
        <f>F9*G9</f>
        <v/>
      </c>
      <c r="M9" s="1" t="inlineStr">
        <is>
          <t>O aluno recebeu uma nota 0 atribuída pelo avaliador na W02 Tarefa: Enviar Módulo nº 1</t>
        </is>
      </c>
      <c r="N9" s="44" t="inlineStr">
        <is>
          <t>O avaliador atribuiu nota 0 para a Tarefa W02: Enviar Módulo nº 1. Faça login no Canvas e veja os comentários do avaliador. Trabalhe com o aluno para ajudá-lo a reenviar.</t>
        </is>
      </c>
    </row>
    <row r="10">
      <c r="A10" s="1" t="inlineStr">
        <is>
          <t>CSE310</t>
        </is>
      </c>
      <c r="B10" s="1" t="inlineStr">
        <is>
          <t>High Performance</t>
        </is>
      </c>
      <c r="C10" s="45" t="inlineStr">
        <is>
          <t>S02 - Atividade: Enviar o Módulo 1</t>
        </is>
      </c>
      <c r="D10" s="23" t="n">
        <v>3</v>
      </c>
      <c r="E10" s="23" t="n">
        <v>5</v>
      </c>
      <c r="F10" s="23" t="n">
        <v>100</v>
      </c>
      <c r="G10" s="24" t="n">
        <v>0.9</v>
      </c>
      <c r="H10" s="24" t="inlineStr">
        <is>
          <t>y</t>
        </is>
      </c>
      <c r="I10" s="26">
        <f>DATE(YEAR(Setup!$C$4),MONTH(Setup!$C$4),DAY(Setup!$C$4)+((D10-1)*7)+(E10-WEEKDAY(DATE(YEAR(Setup!$C$4),MONTH(Setup!$C$4),DAY(Setup!$C$4)),1)))</f>
        <v/>
      </c>
      <c r="J10" s="26">
        <f>I10+3</f>
        <v/>
      </c>
      <c r="K10" s="26">
        <f>(I10 + (7 - WEEKDAY(I10,1))) + 1</f>
        <v/>
      </c>
      <c r="L10" s="23">
        <f>F10*G10</f>
        <v/>
      </c>
      <c r="M10" s="1" t="inlineStr">
        <is>
          <t>Alto desempenho: Tarefa W02: Enviar Módulo nº 1</t>
        </is>
      </c>
      <c r="N10" s="1" t="inlineStr">
        <is>
          <t>Forneça feedback positivo sobre a Tarefa W02: Submit Module #1</t>
        </is>
      </c>
    </row>
    <row r="11">
      <c r="A11" s="1" t="inlineStr">
        <is>
          <t>CSE310</t>
        </is>
      </c>
      <c r="B11" s="1" t="inlineStr">
        <is>
          <t>Low Performance</t>
        </is>
      </c>
      <c r="C11" s="45" t="inlineStr">
        <is>
          <t>S02 - Atividade: Enviar o Módulo 1</t>
        </is>
      </c>
      <c r="D11" s="23" t="n">
        <v>3</v>
      </c>
      <c r="E11" s="23" t="n">
        <v>5</v>
      </c>
      <c r="F11" s="23" t="n">
        <v>100</v>
      </c>
      <c r="G11" s="24" t="n">
        <v>0.7</v>
      </c>
      <c r="H11" s="24" t="inlineStr">
        <is>
          <t>y</t>
        </is>
      </c>
      <c r="I11" s="26">
        <f>DATE(YEAR(Setup!$C$4),MONTH(Setup!$C$4),DAY(Setup!$C$4)+((D11-1)*7)+(E11-WEEKDAY(DATE(YEAR(Setup!$C$4),MONTH(Setup!$C$4),DAY(Setup!$C$4)),1)))</f>
        <v/>
      </c>
      <c r="J11" s="26">
        <f>I11+3</f>
        <v/>
      </c>
      <c r="K11" s="26">
        <f>(I11 + (7 - WEEKDAY(I11,1))) + 1</f>
        <v/>
      </c>
      <c r="L11" s="23">
        <f>F11*G11</f>
        <v/>
      </c>
      <c r="M11" s="1" t="inlineStr">
        <is>
          <t>Baixo Desempenho: Tarefa da W02: Enviar Módulo #1</t>
        </is>
      </c>
      <c r="N11" s="1" t="inlineStr">
        <is>
          <t>Em risco. O aluno obteve nota inferior a 70% na Tarefa W02: Enviar Módulo nº 1. Entre em contato para ver como você pode ajudar.</t>
        </is>
      </c>
    </row>
    <row r="12">
      <c r="A12" s="1" t="inlineStr">
        <is>
          <t>CSE310</t>
        </is>
      </c>
      <c r="B12" s="1" t="inlineStr">
        <is>
          <t>Missing Assignment</t>
        </is>
      </c>
      <c r="C12" s="1" t="inlineStr">
        <is>
          <t>S03 - Atividade: Planejar o Módulo 2</t>
        </is>
      </c>
      <c r="D12" s="23" t="n">
        <v>4</v>
      </c>
      <c r="E12" s="23" t="n">
        <v>2</v>
      </c>
      <c r="F12" s="23" t="n"/>
      <c r="G12" s="24" t="n"/>
      <c r="H12" s="24" t="inlineStr">
        <is>
          <t>y</t>
        </is>
      </c>
      <c r="I12" s="26">
        <f>DATE(YEAR(Setup!$C$4),MONTH(Setup!$C$4),DAY(Setup!$C$4)+((D12-1)*7)+(E12-WEEKDAY(DATE(YEAR(Setup!$C$4),MONTH(Setup!$C$4),DAY(Setup!$C$4)),1)))</f>
        <v/>
      </c>
      <c r="J12" s="26">
        <f>I12+3</f>
        <v/>
      </c>
      <c r="K12" s="26">
        <f>(I12 + (7 - WEEKDAY(I12,1))) + 1</f>
        <v/>
      </c>
      <c r="L12" s="23">
        <f>F12*G12</f>
        <v/>
      </c>
      <c r="M12" s="1" t="inlineStr">
        <is>
          <t>Tarefa Pendente: Tarefa da W03: Planejar Módulo #2</t>
        </is>
      </c>
      <c r="N12" s="1" t="inlineStr">
        <is>
          <t>Entre em contato com o estudante que não entregou a Tarefa da W03: Planejar Módulo #2</t>
        </is>
      </c>
    </row>
    <row r="13">
      <c r="A13" s="1" t="inlineStr">
        <is>
          <t>CSE310</t>
        </is>
      </c>
      <c r="B13" s="1" t="inlineStr">
        <is>
          <t>Grader-Issued 0</t>
        </is>
      </c>
      <c r="C13" s="1" t="inlineStr">
        <is>
          <t>S03 - Atividade: Planejar o Módulo 2</t>
        </is>
      </c>
      <c r="D13" s="23" t="n">
        <v>4</v>
      </c>
      <c r="E13" s="23" t="n">
        <v>4</v>
      </c>
      <c r="F13" s="23" t="n">
        <v>10</v>
      </c>
      <c r="G13" s="24" t="n"/>
      <c r="H13" s="24" t="inlineStr">
        <is>
          <t>y</t>
        </is>
      </c>
      <c r="I13" s="26">
        <f>DATE(YEAR(Setup!$C$4),MONTH(Setup!$C$4),DAY(Setup!$C$4)+((D13-1)*7)+(E13-WEEKDAY(DATE(YEAR(Setup!$C$4),MONTH(Setup!$C$4),DAY(Setup!$C$4)),1)))</f>
        <v/>
      </c>
      <c r="J13" s="26">
        <f>I13+3</f>
        <v/>
      </c>
      <c r="K13" s="26">
        <f>(I13 + (7 - WEEKDAY(I13,1))) + 1</f>
        <v/>
      </c>
      <c r="L13" s="23">
        <f>F13*G13</f>
        <v/>
      </c>
      <c r="M13" s="1" t="inlineStr">
        <is>
          <t>O aluno recebeu uma nota 0 atribuída pelo avaliador na Tarefa W03: Planejar Módulo nº 2</t>
        </is>
      </c>
      <c r="N13" s="44" t="inlineStr">
        <is>
          <t>O avaliador atribuiu nota 0 para a Tarefa W03: Plan Module #2. Acesse o Canvas e veja os comentários do avaliador. Trabalhe com o estudante para ajudá-lo a enviar novamente.</t>
        </is>
      </c>
    </row>
    <row r="14">
      <c r="A14" s="1" t="inlineStr">
        <is>
          <t>CSE310</t>
        </is>
      </c>
      <c r="B14" s="1" t="inlineStr">
        <is>
          <t>Scheduled - Low Current Grade</t>
        </is>
      </c>
      <c r="C14" s="1" t="inlineStr">
        <is>
          <t>Lembrete de Prazo para Cancelamento</t>
        </is>
      </c>
      <c r="D14" s="23" t="n">
        <v>4</v>
      </c>
      <c r="E14" s="23" t="n">
        <v>4</v>
      </c>
      <c r="F14" s="23" t="n"/>
      <c r="G14" s="24" t="n">
        <v>0.5</v>
      </c>
      <c r="H14" s="24" t="inlineStr">
        <is>
          <t>y</t>
        </is>
      </c>
      <c r="I14" s="26">
        <f>DATE(YEAR(Setup!$C$4),MONTH(Setup!$C$4),DAY(Setup!$C$4)+((D14-1)*7)+(E14-WEEKDAY(DATE(YEAR(Setup!$C$4),MONTH(Setup!$C$4),DAY(Setup!$C$4)),1)))</f>
        <v/>
      </c>
      <c r="J14" s="26">
        <f>I14+3</f>
        <v/>
      </c>
      <c r="K14" s="26">
        <f>(I14 + (7 - WEEKDAY(I14,1))) + 1</f>
        <v/>
      </c>
      <c r="L14" s="23">
        <f>F14*G14</f>
        <v/>
      </c>
      <c r="M14" s="1" t="inlineStr">
        <is>
          <t>Aluno em situação de reprovação. Lembrete de cancelamento de matrícula</t>
        </is>
      </c>
      <c r="N14" s="1" t="inlineStr">
        <is>
          <t>Envie um e-mail para os alunos que estão reprovando no momento e que têm poucas chances de recuperação, lembrando-os do prazo de trancamento.</t>
        </is>
      </c>
    </row>
    <row r="15">
      <c r="A15" s="1" t="inlineStr">
        <is>
          <t>CSE310</t>
        </is>
      </c>
      <c r="B15" s="1" t="inlineStr">
        <is>
          <t>High Performance</t>
        </is>
      </c>
      <c r="C15" s="1" t="inlineStr">
        <is>
          <t>S03 - Atividade: Planejar o Módulo 2</t>
        </is>
      </c>
      <c r="D15" s="23" t="n">
        <v>4</v>
      </c>
      <c r="E15" s="23" t="n">
        <v>5</v>
      </c>
      <c r="F15" s="23" t="n">
        <v>10</v>
      </c>
      <c r="G15" s="24" t="n">
        <v>0.9</v>
      </c>
      <c r="H15" s="24" t="inlineStr">
        <is>
          <t>y</t>
        </is>
      </c>
      <c r="I15" s="26">
        <f>DATE(YEAR(Setup!$C$4),MONTH(Setup!$C$4),DAY(Setup!$C$4)+((D15-1)*7)+(E15-WEEKDAY(DATE(YEAR(Setup!$C$4),MONTH(Setup!$C$4),DAY(Setup!$C$4)),1)))</f>
        <v/>
      </c>
      <c r="J15" s="26">
        <f>I15+3</f>
        <v/>
      </c>
      <c r="K15" s="26">
        <f>(I15 + (7 - WEEKDAY(I15,1))) + 1</f>
        <v/>
      </c>
      <c r="L15" s="23">
        <f>F15*G15</f>
        <v/>
      </c>
      <c r="M15" s="1" t="inlineStr">
        <is>
          <t>Alto Desempenho: Tarefa da W03: Planejar Módulo #2</t>
        </is>
      </c>
      <c r="N15" s="1" t="inlineStr">
        <is>
          <t>Fornecer Feedback Positivo na Tarefa da W03: Planejar Módulo #2</t>
        </is>
      </c>
    </row>
    <row r="16">
      <c r="A16" s="1" t="inlineStr">
        <is>
          <t>CSE310</t>
        </is>
      </c>
      <c r="B16" s="1" t="inlineStr">
        <is>
          <t>Low Performance</t>
        </is>
      </c>
      <c r="C16" s="1" t="inlineStr">
        <is>
          <t>S03 - Atividade: Planejar o Módulo 2</t>
        </is>
      </c>
      <c r="D16" s="23" t="n">
        <v>4</v>
      </c>
      <c r="E16" s="23" t="n">
        <v>5</v>
      </c>
      <c r="F16" s="23" t="n">
        <v>10</v>
      </c>
      <c r="G16" s="24" t="n">
        <v>0.7</v>
      </c>
      <c r="H16" s="24" t="inlineStr">
        <is>
          <t>y</t>
        </is>
      </c>
      <c r="I16" s="26">
        <f>DATE(YEAR(Setup!$C$4),MONTH(Setup!$C$4),DAY(Setup!$C$4)+((D16-1)*7)+(E16-WEEKDAY(DATE(YEAR(Setup!$C$4),MONTH(Setup!$C$4),DAY(Setup!$C$4)),1)))</f>
        <v/>
      </c>
      <c r="J16" s="26">
        <f>I16+3</f>
        <v/>
      </c>
      <c r="K16" s="26">
        <f>(I16 + (7 - WEEKDAY(I16,1))) + 1</f>
        <v/>
      </c>
      <c r="L16" s="23">
        <f>F16*G16</f>
        <v/>
      </c>
      <c r="M16" s="1" t="inlineStr">
        <is>
          <t>Baixo Desempenho: W03 Tarefa: Planejar Módulo nº 2</t>
        </is>
      </c>
      <c r="N16" s="1" t="inlineStr">
        <is>
          <t>Em Risco. O aluno obteve nota abaixo de 70% na W03 Tarefa: Planejar Módulo nº 2. Faça um acompanhamento para ver como você pode ajudar.</t>
        </is>
      </c>
    </row>
    <row r="17">
      <c r="A17" s="1" t="inlineStr">
        <is>
          <t>CSE310</t>
        </is>
      </c>
      <c r="B17" s="1" t="inlineStr">
        <is>
          <t>Missing Assignment</t>
        </is>
      </c>
      <c r="C17" s="1" t="inlineStr">
        <is>
          <t>S04 - Atividade: Enviar o Módulo 2</t>
        </is>
      </c>
      <c r="D17" s="23" t="n">
        <v>5</v>
      </c>
      <c r="E17" s="23" t="n">
        <v>2</v>
      </c>
      <c r="F17" s="23" t="n"/>
      <c r="G17" s="24" t="n"/>
      <c r="H17" s="24" t="inlineStr">
        <is>
          <t>y</t>
        </is>
      </c>
      <c r="I17" s="26">
        <f>DATE(YEAR(Setup!$C$4),MONTH(Setup!$C$4),DAY(Setup!$C$4)+((D17-1)*7)+(E17-WEEKDAY(DATE(YEAR(Setup!$C$4),MONTH(Setup!$C$4),DAY(Setup!$C$4)),1)))</f>
        <v/>
      </c>
      <c r="J17" s="26">
        <f>I17+3</f>
        <v/>
      </c>
      <c r="K17" s="26">
        <f>(I17 + (7 - WEEKDAY(I17,1))) + 1</f>
        <v/>
      </c>
      <c r="L17" s="23">
        <f>F17*G17</f>
        <v/>
      </c>
      <c r="M17" s="1" t="inlineStr">
        <is>
          <t>Tarefa Pendente: Tarefa da W04: Enviar Módulo #2</t>
        </is>
      </c>
      <c r="N17" s="1" t="inlineStr">
        <is>
          <t>Entre em contato com o estudante que não entregou a Tarefa W04: Submit Module #2</t>
        </is>
      </c>
    </row>
    <row r="18">
      <c r="A18" s="1" t="inlineStr">
        <is>
          <t>CSE310</t>
        </is>
      </c>
      <c r="B18" s="1" t="inlineStr">
        <is>
          <t>Grader-Issued 0</t>
        </is>
      </c>
      <c r="C18" s="1" t="inlineStr">
        <is>
          <t>S04 - Atividade: Enviar o Módulo 2</t>
        </is>
      </c>
      <c r="D18" s="23" t="n">
        <v>5</v>
      </c>
      <c r="E18" s="23" t="n">
        <v>4</v>
      </c>
      <c r="F18" s="23" t="n">
        <v>100</v>
      </c>
      <c r="G18" s="24" t="n"/>
      <c r="H18" s="24" t="inlineStr">
        <is>
          <t>y</t>
        </is>
      </c>
      <c r="I18" s="26">
        <f>DATE(YEAR(Setup!$C$4),MONTH(Setup!$C$4),DAY(Setup!$C$4)+((D18-1)*7)+(E18-WEEKDAY(DATE(YEAR(Setup!$C$4),MONTH(Setup!$C$4),DAY(Setup!$C$4)),1)))</f>
        <v/>
      </c>
      <c r="J18" s="26">
        <f>I18+3</f>
        <v/>
      </c>
      <c r="K18" s="26">
        <f>(I18 + (7 - WEEKDAY(I18,1))) + 1</f>
        <v/>
      </c>
      <c r="L18" s="23">
        <f>F18*G18</f>
        <v/>
      </c>
      <c r="M18" s="1" t="inlineStr">
        <is>
          <t>O aluno recebeu nota 0 atribuída pelo avaliador na Tarefa W04: Enviar Módulo nº 2</t>
        </is>
      </c>
      <c r="N18" s="44" t="inlineStr">
        <is>
          <t>O avaliador atribuiu nota 0 para a Tarefa W04: Submit Module #2. Acesse o Canvas e veja os comentários do avaliador. Trabalhe com o estudante para ajudá-lo a enviar novamente.</t>
        </is>
      </c>
    </row>
    <row r="19">
      <c r="A19" s="1" t="inlineStr">
        <is>
          <t>CSE310</t>
        </is>
      </c>
      <c r="B19" s="1" t="inlineStr">
        <is>
          <t>Scheduled - Classwide</t>
        </is>
      </c>
      <c r="C19" s="1" t="inlineStr">
        <is>
          <t>Lembrete de Inscrição 1</t>
        </is>
      </c>
      <c r="D19" s="23" t="n">
        <v>5</v>
      </c>
      <c r="E19" s="23" t="n">
        <v>4</v>
      </c>
      <c r="F19" s="23" t="n"/>
      <c r="G19" s="24" t="n"/>
      <c r="H19" s="24" t="inlineStr">
        <is>
          <t>y</t>
        </is>
      </c>
      <c r="I19" s="26">
        <f>DATE(YEAR(Setup!$C$4),MONTH(Setup!$C$4),DAY(Setup!$C$4)+((D19-1)*7)+(E19-WEEKDAY(DATE(YEAR(Setup!$C$4),MONTH(Setup!$C$4),DAY(Setup!$C$4)),1)))</f>
        <v/>
      </c>
      <c r="J19" s="26">
        <f>I19+3</f>
        <v/>
      </c>
      <c r="K19" s="26">
        <f>(I19 + (7 - WEEKDAY(I19,1))) + 1</f>
        <v/>
      </c>
      <c r="L19" s="23">
        <f>F19*G19</f>
        <v/>
      </c>
      <c r="M19" s="1" t="inlineStr">
        <is>
          <t>Lembrete de Matrícula 1</t>
        </is>
      </c>
      <c r="N19" s="43" t="inlineStr">
        <is>
          <t>Envie uma mensagem para todos os alunos, lembrando-os de que as inscrições para o próximo bloco já estão abertas e incentivando-os a agir.</t>
        </is>
      </c>
    </row>
    <row r="20">
      <c r="A20" s="1" t="inlineStr">
        <is>
          <t>CSE310</t>
        </is>
      </c>
      <c r="B20" s="1" t="inlineStr">
        <is>
          <t>High Performance</t>
        </is>
      </c>
      <c r="C20" s="1" t="inlineStr">
        <is>
          <t>S04 - Atividade: Enviar o Módulo 2</t>
        </is>
      </c>
      <c r="D20" s="23" t="n">
        <v>5</v>
      </c>
      <c r="E20" s="23" t="n">
        <v>5</v>
      </c>
      <c r="F20" s="23" t="n">
        <v>100</v>
      </c>
      <c r="G20" s="24" t="n">
        <v>0.9</v>
      </c>
      <c r="H20" s="24" t="inlineStr">
        <is>
          <t>y</t>
        </is>
      </c>
      <c r="I20" s="26">
        <f>DATE(YEAR(Setup!$C$4),MONTH(Setup!$C$4),DAY(Setup!$C$4)+((D20-1)*7)+(E20-WEEKDAY(DATE(YEAR(Setup!$C$4),MONTH(Setup!$C$4),DAY(Setup!$C$4)),1)))</f>
        <v/>
      </c>
      <c r="J20" s="26">
        <f>I20+3</f>
        <v/>
      </c>
      <c r="K20" s="26">
        <f>(I20 + (7 - WEEKDAY(I20,1))) + 1</f>
        <v/>
      </c>
      <c r="L20" s="23">
        <f>F20*G20</f>
        <v/>
      </c>
      <c r="M20" s="1" t="inlineStr">
        <is>
          <t>Alto desempenho: Tarefa W04: Submit Module #2</t>
        </is>
      </c>
      <c r="N20" s="1" t="inlineStr">
        <is>
          <t>Fornecer Feedback Positivo na Tarefa da W04: Enviar Módulo #2</t>
        </is>
      </c>
    </row>
    <row r="21">
      <c r="A21" s="1" t="inlineStr">
        <is>
          <t>CSE310</t>
        </is>
      </c>
      <c r="B21" s="1" t="inlineStr">
        <is>
          <t>Low Performance</t>
        </is>
      </c>
      <c r="C21" s="1" t="inlineStr">
        <is>
          <t>S04 - Atividade: Enviar o Módulo 2</t>
        </is>
      </c>
      <c r="D21" s="23" t="n">
        <v>5</v>
      </c>
      <c r="E21" s="23" t="n">
        <v>5</v>
      </c>
      <c r="F21" s="23" t="n">
        <v>100</v>
      </c>
      <c r="G21" s="24" t="n">
        <v>0.7</v>
      </c>
      <c r="H21" s="24" t="inlineStr">
        <is>
          <t>y</t>
        </is>
      </c>
      <c r="I21" s="26">
        <f>DATE(YEAR(Setup!$C$4),MONTH(Setup!$C$4),DAY(Setup!$C$4)+((D21-1)*7)+(E21-WEEKDAY(DATE(YEAR(Setup!$C$4),MONTH(Setup!$C$4),DAY(Setup!$C$4)),1)))</f>
        <v/>
      </c>
      <c r="J21" s="26">
        <f>I21+3</f>
        <v/>
      </c>
      <c r="K21" s="26">
        <f>(I21 + (7 - WEEKDAY(I21,1))) + 1</f>
        <v/>
      </c>
      <c r="L21" s="23">
        <f>F21*G21</f>
        <v/>
      </c>
      <c r="M21" s="1" t="inlineStr">
        <is>
          <t>Baixo Desempenho: Tarefa da W04: Enviar Módulo #2</t>
        </is>
      </c>
      <c r="N21" s="1" t="inlineStr">
        <is>
          <t>Em Risco. O aluno obteve menos de 70% na Tarefa da W04: Enviar Módulo nº 2. Entre em contato para ver como você pode ajudar.</t>
        </is>
      </c>
    </row>
    <row r="22">
      <c r="A22" s="1" t="inlineStr">
        <is>
          <t>CSE310</t>
        </is>
      </c>
      <c r="B22" s="1" t="inlineStr">
        <is>
          <t>Missing Assignment</t>
        </is>
      </c>
      <c r="C22" s="1" t="inlineStr">
        <is>
          <t>S05 - Atividade: Planejar o Módulo 3</t>
        </is>
      </c>
      <c r="D22" s="23" t="n">
        <v>6</v>
      </c>
      <c r="E22" s="23" t="n">
        <v>2</v>
      </c>
      <c r="F22" s="23" t="n"/>
      <c r="G22" s="24" t="n"/>
      <c r="H22" s="24" t="inlineStr">
        <is>
          <t>y</t>
        </is>
      </c>
      <c r="I22" s="26">
        <f>DATE(YEAR(Setup!$C$4),MONTH(Setup!$C$4),DAY(Setup!$C$4)+((D22-1)*7)+(E22-WEEKDAY(DATE(YEAR(Setup!$C$4),MONTH(Setup!$C$4),DAY(Setup!$C$4)),1)))</f>
        <v/>
      </c>
      <c r="J22" s="26">
        <f>I22+3</f>
        <v/>
      </c>
      <c r="K22" s="26">
        <f>(I22 + (7 - WEEKDAY(I22,1))) + 1</f>
        <v/>
      </c>
      <c r="L22" s="23">
        <f>F22*G22</f>
        <v/>
      </c>
      <c r="M22" s="1" t="inlineStr">
        <is>
          <t>Tarefa Pendente: W05 Tarefa: Planejar Módulo nº 3</t>
        </is>
      </c>
      <c r="N22" s="1" t="inlineStr">
        <is>
          <t>Entre em contato com o aluno que não entregou a Tarefa da W05: Planejar Módulo nº 3</t>
        </is>
      </c>
    </row>
    <row r="23">
      <c r="A23" s="1" t="inlineStr">
        <is>
          <t>CSE310</t>
        </is>
      </c>
      <c r="B23" s="1" t="inlineStr">
        <is>
          <t>Grader-Issued 0</t>
        </is>
      </c>
      <c r="C23" s="1" t="inlineStr">
        <is>
          <t>S05 - Atividade: Planejar o Módulo 3</t>
        </is>
      </c>
      <c r="D23" s="23" t="n">
        <v>6</v>
      </c>
      <c r="E23" s="23" t="n">
        <v>4</v>
      </c>
      <c r="F23" s="23" t="n">
        <v>10</v>
      </c>
      <c r="G23" s="24" t="n"/>
      <c r="H23" s="24" t="inlineStr">
        <is>
          <t>y</t>
        </is>
      </c>
      <c r="I23" s="26">
        <f>DATE(YEAR(Setup!$C$4),MONTH(Setup!$C$4),DAY(Setup!$C$4)+((D23-1)*7)+(E23-WEEKDAY(DATE(YEAR(Setup!$C$4),MONTH(Setup!$C$4),DAY(Setup!$C$4)),1)))</f>
        <v/>
      </c>
      <c r="J23" s="26">
        <f>I23+3</f>
        <v/>
      </c>
      <c r="K23" s="26">
        <f>(I23 + (7 - WEEKDAY(I23,1))) + 1</f>
        <v/>
      </c>
      <c r="L23" s="23">
        <f>F23*G23</f>
        <v/>
      </c>
      <c r="M23" s="1" t="inlineStr">
        <is>
          <t>O aluno recebeu um 0 atribuído pelo avaliador na Tarefa da W05: Planejar Módulo #3</t>
        </is>
      </c>
      <c r="N23" s="44" t="inlineStr">
        <is>
          <t>O avaliador atribuiu nota 0 para a Tarefa W05: Plan Module #3. Acesse o Canvas e veja os comentários do avaliador. Trabalhe com o estudante para ajudá-lo a enviar novamente.</t>
        </is>
      </c>
    </row>
    <row r="24">
      <c r="A24" s="1" t="inlineStr">
        <is>
          <t>CSE310</t>
        </is>
      </c>
      <c r="B24" s="1" t="inlineStr">
        <is>
          <t>High Performance</t>
        </is>
      </c>
      <c r="C24" s="1" t="inlineStr">
        <is>
          <t>S05 - Atividade: Planejar o Módulo 3</t>
        </is>
      </c>
      <c r="D24" s="23" t="n">
        <v>6</v>
      </c>
      <c r="E24" s="23" t="n">
        <v>5</v>
      </c>
      <c r="F24" s="23" t="n">
        <v>10</v>
      </c>
      <c r="G24" s="24" t="n">
        <v>0.9</v>
      </c>
      <c r="H24" s="24" t="inlineStr">
        <is>
          <t>y</t>
        </is>
      </c>
      <c r="I24" s="26">
        <f>DATE(YEAR(Setup!$C$4),MONTH(Setup!$C$4),DAY(Setup!$C$4)+((D24-1)*7)+(E24-WEEKDAY(DATE(YEAR(Setup!$C$4),MONTH(Setup!$C$4),DAY(Setup!$C$4)),1)))</f>
        <v/>
      </c>
      <c r="J24" s="26">
        <f>I24+3</f>
        <v/>
      </c>
      <c r="K24" s="26">
        <f>(I24 + (7 - WEEKDAY(I24,1))) + 1</f>
        <v/>
      </c>
      <c r="L24" s="23">
        <f>F24*G24</f>
        <v/>
      </c>
      <c r="M24" s="1" t="inlineStr">
        <is>
          <t>Alto Desempenho: Tarefa da W05: Planejar Módulo #3</t>
        </is>
      </c>
      <c r="N24" s="1" t="inlineStr">
        <is>
          <t>Fornecer feedback positivo sobre a Tarefa W05: Planejar Módulo nº 3</t>
        </is>
      </c>
    </row>
    <row r="25">
      <c r="A25" s="1" t="inlineStr">
        <is>
          <t>CSE310</t>
        </is>
      </c>
      <c r="B25" s="1" t="inlineStr">
        <is>
          <t>Low Performance</t>
        </is>
      </c>
      <c r="C25" s="1" t="inlineStr">
        <is>
          <t>S05 - Atividade: Planejar o Módulo 3</t>
        </is>
      </c>
      <c r="D25" s="23" t="n">
        <v>6</v>
      </c>
      <c r="E25" s="23" t="n">
        <v>5</v>
      </c>
      <c r="F25" s="23" t="n">
        <v>10</v>
      </c>
      <c r="G25" s="24" t="n">
        <v>0.7</v>
      </c>
      <c r="H25" s="24" t="inlineStr">
        <is>
          <t>y</t>
        </is>
      </c>
      <c r="I25" s="26">
        <f>DATE(YEAR(Setup!$C$4),MONTH(Setup!$C$4),DAY(Setup!$C$4)+((D25-1)*7)+(E25-WEEKDAY(DATE(YEAR(Setup!$C$4),MONTH(Setup!$C$4),DAY(Setup!$C$4)),1)))</f>
        <v/>
      </c>
      <c r="J25" s="26">
        <f>I25+3</f>
        <v/>
      </c>
      <c r="K25" s="26">
        <f>(I25 + (7 - WEEKDAY(I25,1))) + 1</f>
        <v/>
      </c>
      <c r="L25" s="23">
        <f>F25*G25</f>
        <v/>
      </c>
      <c r="M25" s="1" t="inlineStr">
        <is>
          <t>Baixo Desempenho: Tarefa da W05: Planejar Módulo #3</t>
        </is>
      </c>
      <c r="N25" s="1" t="inlineStr">
        <is>
          <t>Em Risco. O aluno obteve menos de 70% na Tarefa da W05: Planejar Módulo nº 3. Entre em contato para ver como você pode ajudar.</t>
        </is>
      </c>
    </row>
    <row r="26">
      <c r="A26" s="1" t="inlineStr">
        <is>
          <t>CSE310</t>
        </is>
      </c>
      <c r="B26" s="1" t="inlineStr">
        <is>
          <t>Scheduled - Classwide</t>
        </is>
      </c>
      <c r="C26" s="1" t="inlineStr">
        <is>
          <t>Lembrete de Inscrição 2</t>
        </is>
      </c>
      <c r="D26" s="23" t="n">
        <v>7</v>
      </c>
      <c r="E26" s="23" t="n">
        <v>1</v>
      </c>
      <c r="F26" s="23" t="n"/>
      <c r="G26" s="24" t="n"/>
      <c r="H26" s="24" t="inlineStr">
        <is>
          <t>y</t>
        </is>
      </c>
      <c r="I26" s="26">
        <f>DATE(YEAR(Setup!$C$4),MONTH(Setup!$C$4),DAY(Setup!$C$4)+((D26-1)*7)+(E26-WEEKDAY(DATE(YEAR(Setup!$C$4),MONTH(Setup!$C$4),DAY(Setup!$C$4)),1)))</f>
        <v/>
      </c>
      <c r="J26" s="26">
        <f>I26+3</f>
        <v/>
      </c>
      <c r="K26" s="26">
        <f>(I26 + (7 - WEEKDAY(I26,1))) + 1</f>
        <v/>
      </c>
      <c r="L26" s="23">
        <f>F26*G26</f>
        <v/>
      </c>
      <c r="M26" s="1" t="inlineStr">
        <is>
          <t>Lembrete de Matrícula 2</t>
        </is>
      </c>
      <c r="N26" s="43" t="inlineStr">
        <is>
          <t>Envie uma mensagem a todos os alunos, lembrando-os de que as inscrições para o próximo bloco ainda estão abertas, mas serão encerradas em breve. Incentive-os a acessar o sistema e se inscrever o quanto antes.</t>
        </is>
      </c>
    </row>
    <row r="27">
      <c r="A27" s="1" t="inlineStr">
        <is>
          <t>CSE310</t>
        </is>
      </c>
      <c r="B27" s="1" t="inlineStr">
        <is>
          <t>Scheduled - Classwide</t>
        </is>
      </c>
      <c r="C27" s="1" t="inlineStr">
        <is>
          <t>Lembrete de Fim de Bloco</t>
        </is>
      </c>
      <c r="D27" s="23" t="n">
        <v>7</v>
      </c>
      <c r="E27" s="23" t="n">
        <v>2</v>
      </c>
      <c r="F27" s="23" t="n"/>
      <c r="G27" s="24" t="n"/>
      <c r="H27" s="24" t="inlineStr">
        <is>
          <t>y</t>
        </is>
      </c>
      <c r="I27" s="26">
        <f>DATE(YEAR(Setup!$C$4),MONTH(Setup!$C$4),DAY(Setup!$C$4)+((D27-1)*7)+(E27-WEEKDAY(DATE(YEAR(Setup!$C$4),MONTH(Setup!$C$4),DAY(Setup!$C$4)),1)))</f>
        <v/>
      </c>
      <c r="J27" s="26">
        <f>I27+3</f>
        <v/>
      </c>
      <c r="K27" s="26">
        <f>(I27 + (7 - WEEKDAY(I27,1))) + 1</f>
        <v/>
      </c>
      <c r="L27" s="23">
        <f>F27*G27</f>
        <v/>
      </c>
      <c r="M27" s="1" t="inlineStr">
        <is>
          <t>Lembrete de Fim de Bloco</t>
        </is>
      </c>
      <c r="N27" s="44" t="inlineStr">
        <is>
          <t>Lembre os alunos de que o curso será encerrado, para enviarem as tarefas dentro do prazo e preencherem a Avaliação de Fim de Curso</t>
        </is>
      </c>
    </row>
    <row r="28">
      <c r="G28" s="2" t="n"/>
      <c r="H28" s="26" t="n"/>
      <c r="I28" s="26">
        <f>H28+3</f>
        <v/>
      </c>
      <c r="J28" s="26">
        <f>(H28 + (7 - WEEKDAY(H28,1))) + 1</f>
        <v/>
      </c>
      <c r="K28" s="23">
        <f>F28*G28</f>
        <v/>
      </c>
    </row>
    <row r="29">
      <c r="B29" s="3" t="n"/>
      <c r="G29" s="2" t="n"/>
      <c r="H29" s="26" t="n"/>
      <c r="I29" s="26">
        <f>H29+3</f>
        <v/>
      </c>
      <c r="J29" s="26">
        <f>(H29 + (7 - WEEKDAY(H29,1))) + 1</f>
        <v/>
      </c>
      <c r="K29" s="23">
        <f>F29*G29</f>
        <v/>
      </c>
    </row>
    <row r="30">
      <c r="G30" s="2" t="n"/>
      <c r="H30" s="26" t="n"/>
      <c r="I30" s="26">
        <f>H30+3</f>
        <v/>
      </c>
      <c r="J30" s="26">
        <f>(H30 + (7 - WEEKDAY(H30,1))) + 1</f>
        <v/>
      </c>
      <c r="K30" s="23">
        <f>F30*G30</f>
        <v/>
      </c>
    </row>
    <row r="31">
      <c r="G31" s="2" t="n"/>
      <c r="H31" s="26" t="n"/>
      <c r="I31" s="26">
        <f>H31+3</f>
        <v/>
      </c>
      <c r="J31" s="26">
        <f>(H31 + (7 - WEEKDAY(H31,1))) + 1</f>
        <v/>
      </c>
      <c r="K31" s="23">
        <f>F31*G31</f>
        <v/>
      </c>
    </row>
    <row r="32">
      <c r="G32" s="2" t="n"/>
      <c r="H32" s="26" t="n"/>
      <c r="I32" s="26">
        <f>H32+3</f>
        <v/>
      </c>
      <c r="J32" s="26">
        <f>(H32 + (7 - WEEKDAY(H32,1))) + 1</f>
        <v/>
      </c>
      <c r="K32" s="23">
        <f>F32*G32</f>
        <v/>
      </c>
    </row>
    <row r="33">
      <c r="G33" s="2" t="n"/>
      <c r="H33" s="26" t="n"/>
      <c r="I33" s="26">
        <f>H33+3</f>
        <v/>
      </c>
      <c r="J33" s="26">
        <f>(H33 + (7 - WEEKDAY(H33,1))) + 1</f>
        <v/>
      </c>
      <c r="K33" s="23">
        <f>F33*G33</f>
        <v/>
      </c>
    </row>
    <row r="34">
      <c r="G34" s="2" t="n"/>
      <c r="H34" s="26" t="n"/>
      <c r="I34" s="26">
        <f>H34+3</f>
        <v/>
      </c>
      <c r="J34" s="26">
        <f>(H34 + (7 - WEEKDAY(H34,1))) + 1</f>
        <v/>
      </c>
      <c r="K34" s="23">
        <f>F34*G34</f>
        <v/>
      </c>
    </row>
    <row r="35">
      <c r="G35" s="2" t="n"/>
      <c r="H35" s="26" t="n"/>
      <c r="I35" s="26">
        <f>H35+3</f>
        <v/>
      </c>
      <c r="J35" s="26">
        <f>(H35 + (7 - WEEKDAY(H35,1))) + 1</f>
        <v/>
      </c>
      <c r="K35" s="23">
        <f>F35*G35</f>
        <v/>
      </c>
    </row>
    <row r="36">
      <c r="G36" s="2" t="n"/>
      <c r="H36" s="26" t="n"/>
      <c r="I36" s="26">
        <f>H36+3</f>
        <v/>
      </c>
      <c r="J36" s="26">
        <f>(H36 + (7 - WEEKDAY(H36,1))) + 1</f>
        <v/>
      </c>
      <c r="K36" s="23">
        <f>F36*G36</f>
        <v/>
      </c>
    </row>
    <row r="37">
      <c r="G37" s="2" t="n"/>
      <c r="H37" s="26" t="n"/>
      <c r="I37" s="26">
        <f>H37+3</f>
        <v/>
      </c>
      <c r="J37" s="26">
        <f>(H37 + (7 - WEEKDAY(H37,1))) + 1</f>
        <v/>
      </c>
      <c r="K37" s="23">
        <f>F37*G37</f>
        <v/>
      </c>
    </row>
    <row r="38">
      <c r="G38" s="2" t="n"/>
      <c r="H38" s="26" t="n"/>
      <c r="I38" s="26">
        <f>H38+3</f>
        <v/>
      </c>
      <c r="J38" s="26">
        <f>(H38 + (7 - WEEKDAY(H38,1))) + 1</f>
        <v/>
      </c>
      <c r="K38" s="23">
        <f>F38*G38</f>
        <v/>
      </c>
    </row>
    <row r="39">
      <c r="G39" s="2" t="n"/>
      <c r="H39" s="26" t="n"/>
      <c r="I39" s="26">
        <f>H39+3</f>
        <v/>
      </c>
      <c r="J39" s="26">
        <f>(H39 + (7 - WEEKDAY(H39,1))) + 1</f>
        <v/>
      </c>
      <c r="K39" s="23">
        <f>F39*G39</f>
        <v/>
      </c>
    </row>
    <row r="40">
      <c r="G40" s="2" t="n"/>
      <c r="H40" s="26" t="n"/>
      <c r="I40" s="26">
        <f>H40+3</f>
        <v/>
      </c>
      <c r="J40" s="26">
        <f>(H40 + (7 - WEEKDAY(H40,1))) + 1</f>
        <v/>
      </c>
      <c r="K40" s="23">
        <f>F40*G40</f>
        <v/>
      </c>
    </row>
    <row r="41">
      <c r="G41" s="2" t="n"/>
      <c r="H41" s="26" t="n"/>
      <c r="I41" s="26">
        <f>H41+3</f>
        <v/>
      </c>
      <c r="J41" s="26">
        <f>(H41 + (7 - WEEKDAY(H41,1))) + 1</f>
        <v/>
      </c>
      <c r="K41" s="23">
        <f>F41*G41</f>
        <v/>
      </c>
    </row>
    <row r="42">
      <c r="G42" s="2" t="n"/>
      <c r="H42" s="26" t="n"/>
      <c r="I42" s="26">
        <f>H42+3</f>
        <v/>
      </c>
      <c r="J42" s="26">
        <f>(H42 + (7 - WEEKDAY(H42,1))) + 1</f>
        <v/>
      </c>
      <c r="K42" s="23">
        <f>F42*G42</f>
        <v/>
      </c>
    </row>
    <row r="43">
      <c r="G43" s="2" t="n"/>
      <c r="H43" s="26" t="n"/>
      <c r="I43" s="26">
        <f>H43+3</f>
        <v/>
      </c>
      <c r="J43" s="26">
        <f>(H43 + (7 - WEEKDAY(H43,1))) + 1</f>
        <v/>
      </c>
      <c r="K43" s="23">
        <f>F43*G43</f>
        <v/>
      </c>
    </row>
    <row r="44">
      <c r="G44" s="2" t="n"/>
      <c r="H44" s="26" t="n"/>
      <c r="I44" s="26">
        <f>H44+3</f>
        <v/>
      </c>
      <c r="J44" s="26">
        <f>(H44 + (7 - WEEKDAY(H44,1))) + 1</f>
        <v/>
      </c>
      <c r="K44" s="23">
        <f>F44*G44</f>
        <v/>
      </c>
    </row>
    <row r="45">
      <c r="G45" s="2" t="n"/>
      <c r="H45" s="26" t="n"/>
      <c r="I45" s="26">
        <f>H45+3</f>
        <v/>
      </c>
      <c r="J45" s="26">
        <f>(H45 + (7 - WEEKDAY(H45,1))) + 1</f>
        <v/>
      </c>
      <c r="K45" s="23">
        <f>F45*G45</f>
        <v/>
      </c>
    </row>
    <row r="46">
      <c r="G46" s="2" t="n"/>
      <c r="H46" s="26" t="n"/>
      <c r="I46" s="26">
        <f>H46+3</f>
        <v/>
      </c>
      <c r="J46" s="26">
        <f>(H46 + (7 - WEEKDAY(H46,1))) + 1</f>
        <v/>
      </c>
      <c r="K46" s="23">
        <f>F46*G46</f>
        <v/>
      </c>
    </row>
    <row r="47">
      <c r="G47" s="2" t="n"/>
      <c r="H47" s="26" t="n"/>
      <c r="I47" s="26">
        <f>H47+3</f>
        <v/>
      </c>
      <c r="J47" s="26">
        <f>(H47 + (7 - WEEKDAY(H47,1))) + 1</f>
        <v/>
      </c>
      <c r="K47" s="23">
        <f>F47*G47</f>
        <v/>
      </c>
    </row>
    <row r="48">
      <c r="G48" s="2" t="n"/>
      <c r="H48" s="26" t="n"/>
      <c r="I48" s="26">
        <f>H48+3</f>
        <v/>
      </c>
      <c r="J48" s="26">
        <f>(H48 + (7 - WEEKDAY(H48,1))) + 1</f>
        <v/>
      </c>
      <c r="K48" s="23">
        <f>F48*G48</f>
        <v/>
      </c>
    </row>
    <row r="49">
      <c r="G49" s="2" t="n"/>
      <c r="H49" s="26" t="n"/>
      <c r="I49" s="26">
        <f>H49+3</f>
        <v/>
      </c>
      <c r="J49" s="26">
        <f>(H49 + (7 - WEEKDAY(H49,1))) + 1</f>
        <v/>
      </c>
      <c r="K49" s="23">
        <f>F49*G49</f>
        <v/>
      </c>
    </row>
    <row r="50">
      <c r="G50" s="2" t="n"/>
      <c r="H50" s="26" t="n"/>
      <c r="I50" s="26">
        <f>H50+3</f>
        <v/>
      </c>
      <c r="J50" s="26">
        <f>(H50 + (7 - WEEKDAY(H50,1))) + 1</f>
        <v/>
      </c>
      <c r="K50" s="23">
        <f>F50*G50</f>
        <v/>
      </c>
    </row>
    <row r="51">
      <c r="G51" s="2" t="n"/>
      <c r="H51" s="26" t="n"/>
      <c r="I51" s="26">
        <f>H51+3</f>
        <v/>
      </c>
      <c r="J51" s="26">
        <f>(H51 + (7 - WEEKDAY(H51,1))) + 1</f>
        <v/>
      </c>
      <c r="K51" s="23">
        <f>F51*G51</f>
        <v/>
      </c>
    </row>
    <row r="52">
      <c r="G52" s="2" t="n"/>
      <c r="H52" s="26" t="n"/>
      <c r="I52" s="26">
        <f>H52+3</f>
        <v/>
      </c>
      <c r="J52" s="26">
        <f>(H52 + (7 - WEEKDAY(H52,1))) + 1</f>
        <v/>
      </c>
      <c r="K52" s="23">
        <f>F52*G52</f>
        <v/>
      </c>
    </row>
    <row r="53">
      <c r="G53" s="2" t="n"/>
      <c r="H53" s="26" t="n"/>
      <c r="I53" s="26">
        <f>H53+3</f>
        <v/>
      </c>
      <c r="J53" s="26">
        <f>(H53 + (7 - WEEKDAY(H53,1))) + 1</f>
        <v/>
      </c>
      <c r="K53" s="23">
        <f>F53*G53</f>
        <v/>
      </c>
    </row>
    <row r="54">
      <c r="G54" s="2" t="n"/>
      <c r="H54" s="26" t="n"/>
      <c r="I54" s="26">
        <f>H54+3</f>
        <v/>
      </c>
      <c r="J54" s="26">
        <f>(H54 + (7 - WEEKDAY(H54,1))) + 1</f>
        <v/>
      </c>
      <c r="K54" s="23">
        <f>F54*G54</f>
        <v/>
      </c>
    </row>
    <row r="55">
      <c r="G55" s="2" t="n"/>
      <c r="H55" s="26" t="n"/>
      <c r="I55" s="26">
        <f>H55+3</f>
        <v/>
      </c>
      <c r="J55" s="26">
        <f>(H55 + (7 - WEEKDAY(H55,1))) + 1</f>
        <v/>
      </c>
      <c r="K55" s="23">
        <f>F55*G55</f>
        <v/>
      </c>
    </row>
    <row r="56">
      <c r="G56" s="2" t="n"/>
      <c r="H56" s="26" t="n"/>
      <c r="I56" s="26">
        <f>H56+3</f>
        <v/>
      </c>
      <c r="J56" s="26">
        <f>(H56 + (7 - WEEKDAY(H56,1))) + 1</f>
        <v/>
      </c>
      <c r="K56" s="23">
        <f>F56*G56</f>
        <v/>
      </c>
    </row>
    <row r="57">
      <c r="G57" s="2" t="n"/>
      <c r="H57" s="26" t="n"/>
      <c r="I57" s="26">
        <f>H57+3</f>
        <v/>
      </c>
      <c r="J57" s="26">
        <f>(H57 + (7 - WEEKDAY(H57,1))) + 1</f>
        <v/>
      </c>
      <c r="K57" s="23">
        <f>F57*G57</f>
        <v/>
      </c>
    </row>
    <row r="58">
      <c r="G58" s="2" t="n"/>
      <c r="H58" s="26" t="n"/>
      <c r="I58" s="26">
        <f>H58+3</f>
        <v/>
      </c>
      <c r="J58" s="26">
        <f>(H58 + (7 - WEEKDAY(H58,1))) + 1</f>
        <v/>
      </c>
      <c r="K58" s="23">
        <f>F58*G58</f>
        <v/>
      </c>
    </row>
    <row r="59">
      <c r="G59" s="2" t="n"/>
      <c r="H59" s="26" t="n"/>
      <c r="I59" s="26">
        <f>H59+3</f>
        <v/>
      </c>
      <c r="J59" s="26">
        <f>(H59 + (7 - WEEKDAY(H59,1))) + 1</f>
        <v/>
      </c>
      <c r="K59" s="23">
        <f>F59*G59</f>
        <v/>
      </c>
    </row>
    <row r="60">
      <c r="G60" s="2" t="n"/>
      <c r="H60" s="26" t="n"/>
      <c r="I60" s="26">
        <f>H60+3</f>
        <v/>
      </c>
      <c r="J60" s="26">
        <f>(H60 + (7 - WEEKDAY(H60,1))) + 1</f>
        <v/>
      </c>
      <c r="K60" s="23">
        <f>F60*G60</f>
        <v/>
      </c>
    </row>
    <row r="61">
      <c r="G61" s="2" t="n"/>
      <c r="H61" s="26" t="n"/>
      <c r="I61" s="26">
        <f>H61+3</f>
        <v/>
      </c>
      <c r="J61" s="26">
        <f>(H61 + (7 - WEEKDAY(H61,1))) + 1</f>
        <v/>
      </c>
      <c r="K61" s="23">
        <f>F61*G61</f>
        <v/>
      </c>
    </row>
    <row r="62">
      <c r="G62" s="2" t="n"/>
      <c r="H62" s="26" t="n"/>
      <c r="I62" s="26">
        <f>H62+3</f>
        <v/>
      </c>
      <c r="J62" s="26">
        <f>(H62 + (7 - WEEKDAY(H62,1))) + 1</f>
        <v/>
      </c>
      <c r="K62" s="23">
        <f>F62*G62</f>
        <v/>
      </c>
    </row>
    <row r="63">
      <c r="G63" s="2" t="n"/>
      <c r="H63" s="26" t="n"/>
      <c r="I63" s="26">
        <f>H63+3</f>
        <v/>
      </c>
      <c r="J63" s="26">
        <f>(H63 + (7 - WEEKDAY(H63,1))) + 1</f>
        <v/>
      </c>
      <c r="K63" s="23">
        <f>F63*G63</f>
        <v/>
      </c>
    </row>
    <row r="64">
      <c r="G64" s="2" t="n"/>
      <c r="H64" s="26" t="n"/>
      <c r="I64" s="26">
        <f>H64+3</f>
        <v/>
      </c>
      <c r="J64" s="26">
        <f>(H64 + (7 - WEEKDAY(H64,1))) + 1</f>
        <v/>
      </c>
      <c r="K64" s="23">
        <f>F64*G64</f>
        <v/>
      </c>
    </row>
    <row r="65">
      <c r="G65" s="2" t="n"/>
      <c r="H65" s="26" t="n"/>
      <c r="I65" s="26">
        <f>H65+3</f>
        <v/>
      </c>
      <c r="J65" s="26">
        <f>(H65 + (7 - WEEKDAY(H65,1))) + 1</f>
        <v/>
      </c>
      <c r="K65" s="23">
        <f>F65*G65</f>
        <v/>
      </c>
    </row>
    <row r="66">
      <c r="G66" s="2" t="n"/>
      <c r="H66" s="26" t="n"/>
      <c r="I66" s="26">
        <f>H66+3</f>
        <v/>
      </c>
      <c r="J66" s="26">
        <f>(H66 + (7 - WEEKDAY(H66,1))) + 1</f>
        <v/>
      </c>
      <c r="K66" s="23">
        <f>F66*G66</f>
        <v/>
      </c>
    </row>
    <row r="67">
      <c r="G67" s="2" t="n"/>
      <c r="H67" s="26" t="n"/>
      <c r="I67" s="26">
        <f>H67+3</f>
        <v/>
      </c>
      <c r="J67" s="26">
        <f>(H67 + (7 - WEEKDAY(H67,1))) + 1</f>
        <v/>
      </c>
      <c r="K67" s="23">
        <f>F67*G67</f>
        <v/>
      </c>
    </row>
    <row r="68">
      <c r="G68" s="2" t="n"/>
      <c r="H68" s="26" t="n"/>
      <c r="I68" s="26">
        <f>H68+3</f>
        <v/>
      </c>
      <c r="J68" s="26">
        <f>(H68 + (7 - WEEKDAY(H68,1))) + 1</f>
        <v/>
      </c>
      <c r="K68" s="23">
        <f>F68*G68</f>
        <v/>
      </c>
    </row>
    <row r="69">
      <c r="G69" s="2" t="n"/>
      <c r="H69" s="26" t="n"/>
      <c r="I69" s="26">
        <f>H69+3</f>
        <v/>
      </c>
      <c r="J69" s="26">
        <f>(H69 + (7 - WEEKDAY(H69,1))) + 1</f>
        <v/>
      </c>
      <c r="K69" s="23">
        <f>F69*G69</f>
        <v/>
      </c>
    </row>
    <row r="70">
      <c r="G70" s="2" t="n"/>
      <c r="H70" s="26" t="n"/>
      <c r="I70" s="26">
        <f>H70+3</f>
        <v/>
      </c>
      <c r="J70" s="26">
        <f>(H70 + (7 - WEEKDAY(H70,1))) + 1</f>
        <v/>
      </c>
      <c r="K70" s="23">
        <f>F70*G70</f>
        <v/>
      </c>
    </row>
    <row r="71">
      <c r="G71" s="2" t="n"/>
      <c r="H71" s="26" t="n"/>
      <c r="I71" s="26">
        <f>H71+3</f>
        <v/>
      </c>
      <c r="J71" s="26">
        <f>(H71 + (7 - WEEKDAY(H71,1))) + 1</f>
        <v/>
      </c>
      <c r="K71" s="23">
        <f>F71*G71</f>
        <v/>
      </c>
    </row>
    <row r="72">
      <c r="G72" s="2" t="n"/>
      <c r="H72" s="26" t="n"/>
      <c r="I72" s="26">
        <f>H72+3</f>
        <v/>
      </c>
      <c r="J72" s="26">
        <f>(H72 + (7 - WEEKDAY(H72,1))) + 1</f>
        <v/>
      </c>
      <c r="K72" s="23">
        <f>F72*G72</f>
        <v/>
      </c>
    </row>
    <row r="73">
      <c r="G73" s="2" t="n"/>
      <c r="H73" s="26" t="n"/>
      <c r="I73" s="26">
        <f>H73+3</f>
        <v/>
      </c>
      <c r="J73" s="26">
        <f>(H73 + (7 - WEEKDAY(H73,1))) + 1</f>
        <v/>
      </c>
      <c r="K73" s="23">
        <f>F73*G73</f>
        <v/>
      </c>
    </row>
    <row r="74">
      <c r="G74" s="2" t="n"/>
      <c r="H74" s="26" t="n"/>
      <c r="I74" s="26">
        <f>H74+3</f>
        <v/>
      </c>
      <c r="J74" s="26">
        <f>(H74 + (7 - WEEKDAY(H74,1))) + 1</f>
        <v/>
      </c>
      <c r="K74" s="23">
        <f>F74*G74</f>
        <v/>
      </c>
    </row>
    <row r="75">
      <c r="G75" s="2" t="n"/>
      <c r="H75" s="26" t="n"/>
      <c r="I75" s="26">
        <f>H75+3</f>
        <v/>
      </c>
      <c r="J75" s="26">
        <f>(H75 + (7 - WEEKDAY(H75,1))) + 1</f>
        <v/>
      </c>
      <c r="K75" s="23">
        <f>F75*G75</f>
        <v/>
      </c>
    </row>
  </sheetData>
  <sheetProtection selectLockedCells="1" selectUnlockedCells="0" algorithmName="SHA-512" sheet="1" objects="0" insertRows="0" insertHyperlinks="1" autoFilter="0" scenarios="0" formatColumns="1" deleteColumns="1" insertColumns="1" pivotTables="1" deleteRows="0" formatCells="0" saltValue="cRPeTiYOEkIfOV/nFNuQ/A==" formatRows="0" sort="0" spinCount="100000" hashValue="GZyaC/2ew/aD621rF0d0VGLhZZ41SRrj/belb3cH8FDnyFbgjzPhki280evtO9aY2w6URAYZKL6FJtMxFmVTzg=="/>
  <autoFilter ref="A1:M75">
    <sortState ref="A2:M75">
      <sortCondition ref="D1:D75"/>
    </sortState>
  </autoFilter>
  <dataValidations disablePrompts="1"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1.xml><?xml version="1.0" encoding="utf-8"?>
<worksheet xmlns="http://schemas.openxmlformats.org/spreadsheetml/2006/main">
  <sheetPr codeName="Sheet9">
    <tabColor rgb="FF0070C0"/>
    <outlinePr summaryBelow="1" summaryRight="1"/>
    <pageSetUpPr/>
  </sheetPr>
  <dimension ref="A1:N85"/>
  <sheetViews>
    <sheetView workbookViewId="0">
      <pane xSplit="3" topLeftCell="D1" activePane="topRight" state="frozen"/>
      <selection pane="topRight" activeCell="F21" sqref="F21"/>
    </sheetView>
  </sheetViews>
  <sheetFormatPr baseColWidth="8" defaultColWidth="8.85546875" defaultRowHeight="15"/>
  <cols>
    <col width="13" customWidth="1" style="1" min="1" max="1"/>
    <col width="24.28515625" customWidth="1" style="1" min="2" max="2"/>
    <col width="31.85546875" customWidth="1" style="1" min="3" max="3"/>
    <col width="14.42578125" customWidth="1" style="1" min="4" max="4"/>
    <col width="14" customWidth="1" style="1" min="5" max="6"/>
    <col width="14.140625" customWidth="1" style="1" min="7" max="7"/>
    <col hidden="1" width="14.140625" customWidth="1" style="1"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CSE325</t>
        </is>
      </c>
      <c r="B2" s="1" t="inlineStr">
        <is>
          <t>New Student Added</t>
        </is>
      </c>
      <c r="D2" s="23" t="n">
        <v>0</v>
      </c>
      <c r="E2" s="23" t="n">
        <v>2</v>
      </c>
      <c r="F2" s="23" t="n"/>
      <c r="G2" s="24" t="n"/>
      <c r="H2" s="24" t="inlineStr">
        <is>
          <t>y</t>
        </is>
      </c>
      <c r="I2" s="26">
        <f>DATE(YEAR(Setup!$C$4),MONTH(Setup!$C$4),DAY(Setup!$C$4)+((D2-1)*7)+(E2-WEEKDAY(DATE(YEAR(Setup!$C$4),MONTH(Setup!$C$4),DAY(Setup!$C$4)),1)))</f>
        <v/>
      </c>
      <c r="J2" s="26">
        <f>I2+3</f>
        <v/>
      </c>
      <c r="K2" s="26">
        <f>(I2 + (7 - WEEKDAY(I2,1))) + 1</f>
        <v/>
      </c>
      <c r="L2" s="23">
        <f>F2*G2</f>
        <v/>
      </c>
      <c r="M2" s="1" t="inlineStr">
        <is>
          <t>Welcome Email</t>
        </is>
      </c>
      <c r="N2" s="1" t="inlineStr">
        <is>
          <t>Welcome students to your course</t>
        </is>
      </c>
    </row>
    <row r="3">
      <c r="A3" s="1" t="inlineStr">
        <is>
          <t>CSE325</t>
        </is>
      </c>
      <c r="B3" s="1" t="inlineStr">
        <is>
          <t>Scheduled - Not Logged In</t>
        </is>
      </c>
      <c r="C3" s="1" t="inlineStr">
        <is>
          <t>Not Logged In</t>
        </is>
      </c>
      <c r="D3" s="23" t="n">
        <v>1</v>
      </c>
      <c r="E3" s="23" t="n">
        <v>4</v>
      </c>
      <c r="F3" s="23" t="n"/>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CSE325</t>
        </is>
      </c>
      <c r="B4" s="1" t="inlineStr">
        <is>
          <t>Missing Assignment</t>
        </is>
      </c>
      <c r="C4" s="45" t="inlineStr">
        <is>
          <t>W01 Assignment: .NET Applications</t>
        </is>
      </c>
      <c r="D4" s="23" t="n">
        <v>2</v>
      </c>
      <c r="E4" s="23" t="n">
        <v>2</v>
      </c>
      <c r="F4" s="23" t="n"/>
      <c r="G4" s="24" t="inlineStr">
        <is>
          <t xml:space="preserve"> </t>
        </is>
      </c>
      <c r="H4" s="24" t="inlineStr">
        <is>
          <t>y</t>
        </is>
      </c>
      <c r="I4" s="26">
        <f>DATE(YEAR(Setup!$C$4),MONTH(Setup!$C$4),DAY(Setup!$C$4)+((D4-1)*7)+(E4-WEEKDAY(DATE(YEAR(Setup!$C$4),MONTH(Setup!$C$4),DAY(Setup!$C$4)),1)))</f>
        <v/>
      </c>
      <c r="J4" s="26">
        <f>I4+3</f>
        <v/>
      </c>
      <c r="K4" s="26">
        <f>(I4 + (7 - WEEKDAY(I4,1))) + 1</f>
        <v/>
      </c>
      <c r="L4" s="23">
        <f>F4*G4</f>
        <v/>
      </c>
      <c r="M4" s="1" t="inlineStr">
        <is>
          <t>Missing Assignment: W01 Assignment: Create Hello World Module</t>
        </is>
      </c>
      <c r="N4" s="1" t="inlineStr">
        <is>
          <t>Check in with student missing W01 Assignment: .NET Applications</t>
        </is>
      </c>
    </row>
    <row r="5">
      <c r="A5" s="1" t="inlineStr">
        <is>
          <t>CSE325</t>
        </is>
      </c>
      <c r="B5" s="1" t="inlineStr">
        <is>
          <t>Grader-Issued 0</t>
        </is>
      </c>
      <c r="C5" s="45" t="inlineStr">
        <is>
          <t>W01 Assignment: .NET Applications</t>
        </is>
      </c>
      <c r="D5" s="23" t="n">
        <v>2</v>
      </c>
      <c r="E5" s="23" t="n">
        <v>4</v>
      </c>
      <c r="F5" s="23" t="n">
        <v>10</v>
      </c>
      <c r="G5" s="24" t="n"/>
      <c r="H5" s="24" t="inlineStr">
        <is>
          <t>y</t>
        </is>
      </c>
      <c r="I5" s="26">
        <f>DATE(YEAR(Setup!$C$4),MONTH(Setup!$C$4),DAY(Setup!$C$4)+((D5-1)*7)+(E5-WEEKDAY(DATE(YEAR(Setup!$C$4),MONTH(Setup!$C$4),DAY(Setup!$C$4)),1)))</f>
        <v/>
      </c>
      <c r="J5" s="26">
        <f>I5+3</f>
        <v/>
      </c>
      <c r="K5" s="26">
        <f>(I5 + (7 - WEEKDAY(I5,1))) + 1</f>
        <v/>
      </c>
      <c r="L5" s="23">
        <f>F5*G5</f>
        <v/>
      </c>
      <c r="M5" s="1" t="inlineStr">
        <is>
          <t>The student was given a Grader issued 0 on W01 Assignment: Create Hello World Module</t>
        </is>
      </c>
      <c r="N5" s="44" t="inlineStr">
        <is>
          <t>Grader issued 0 for W01 Assignment: .NET Applications. Log into Canvas and see the grader comments. Work with the student to help resubmit.</t>
        </is>
      </c>
    </row>
    <row r="6">
      <c r="A6" s="1" t="inlineStr">
        <is>
          <t>CSE325</t>
        </is>
      </c>
      <c r="B6" s="1" t="inlineStr">
        <is>
          <t>High Performance</t>
        </is>
      </c>
      <c r="C6" s="45" t="inlineStr">
        <is>
          <t>W01 Assignment: .NET Applications</t>
        </is>
      </c>
      <c r="D6" s="23" t="n">
        <v>2</v>
      </c>
      <c r="E6" s="23" t="n">
        <v>5</v>
      </c>
      <c r="F6" s="23" t="n">
        <v>10</v>
      </c>
      <c r="G6" s="24" t="n">
        <v>0.9</v>
      </c>
      <c r="H6" s="24" t="inlineStr">
        <is>
          <t>y</t>
        </is>
      </c>
      <c r="I6" s="26">
        <f>DATE(YEAR(Setup!$C$4),MONTH(Setup!$C$4),DAY(Setup!$C$4)+((D6-1)*7)+(E6-WEEKDAY(DATE(YEAR(Setup!$C$4),MONTH(Setup!$C$4),DAY(Setup!$C$4)),1)))</f>
        <v/>
      </c>
      <c r="J6" s="26">
        <f>I6+3</f>
        <v/>
      </c>
      <c r="K6" s="26">
        <f>(I6 + (7 - WEEKDAY(I6,1))) + 1</f>
        <v/>
      </c>
      <c r="L6" s="23">
        <f>F6*G6</f>
        <v/>
      </c>
      <c r="M6" s="1" t="inlineStr">
        <is>
          <t>High Performance: W01 Assignment: Create Hello World Module</t>
        </is>
      </c>
      <c r="N6" s="1" t="inlineStr">
        <is>
          <t>Provide Positive Feedback on W01 Assignment: .NET Applications</t>
        </is>
      </c>
    </row>
    <row r="7">
      <c r="A7" s="1" t="inlineStr">
        <is>
          <t>CSE325</t>
        </is>
      </c>
      <c r="B7" s="1" t="inlineStr">
        <is>
          <t>Low Performance</t>
        </is>
      </c>
      <c r="C7" s="45" t="inlineStr">
        <is>
          <t>W01 Assignment: .NET Applications</t>
        </is>
      </c>
      <c r="D7" s="23" t="n">
        <v>2</v>
      </c>
      <c r="E7" s="23" t="n">
        <v>5</v>
      </c>
      <c r="F7" s="23" t="n">
        <v>10</v>
      </c>
      <c r="G7" s="24" t="n">
        <v>0.7</v>
      </c>
      <c r="H7" s="24" t="inlineStr">
        <is>
          <t>y</t>
        </is>
      </c>
      <c r="I7" s="26">
        <f>DATE(YEAR(Setup!$C$4),MONTH(Setup!$C$4),DAY(Setup!$C$4)+((D7-1)*7)+(E7-WEEKDAY(DATE(YEAR(Setup!$C$4),MONTH(Setup!$C$4),DAY(Setup!$C$4)),1)))</f>
        <v/>
      </c>
      <c r="J7" s="26">
        <f>I7+3</f>
        <v/>
      </c>
      <c r="K7" s="26">
        <f>(I7 + (7 - WEEKDAY(I7,1))) + 1</f>
        <v/>
      </c>
      <c r="L7" s="23">
        <f>F7*G7</f>
        <v/>
      </c>
      <c r="M7" s="1" t="inlineStr">
        <is>
          <t>Low Performance: W01 Assignment: Create Hello World Module</t>
        </is>
      </c>
      <c r="N7" s="1" t="inlineStr">
        <is>
          <t xml:space="preserve">At Risk. Student scored below 70% on W01 Assignment: .NET Applications. Check in to see how you can help. </t>
        </is>
      </c>
    </row>
    <row r="8">
      <c r="A8" s="1" t="inlineStr">
        <is>
          <t>CSE325</t>
        </is>
      </c>
      <c r="B8" s="1" t="inlineStr">
        <is>
          <t>Quiz Question</t>
        </is>
      </c>
      <c r="C8" s="45" t="inlineStr">
        <is>
          <t>W01 60-second Status Update: NeedHelp Answer: Yes</t>
        </is>
      </c>
      <c r="D8" s="23" t="n">
        <v>2</v>
      </c>
      <c r="E8" s="23" t="n">
        <v>2</v>
      </c>
      <c r="F8" s="23" t="n"/>
      <c r="G8" s="24" t="n"/>
      <c r="H8" s="24" t="n"/>
      <c r="I8" s="26" t="n"/>
      <c r="J8" s="26" t="n"/>
      <c r="K8" s="26" t="n"/>
      <c r="M8" s="1" t="inlineStr">
        <is>
          <t>Response to W01 60-second Status Update - Student responded they are overwhelmed.</t>
        </is>
      </c>
      <c r="N8" s="1" t="inlineStr">
        <is>
          <t>Student responded feeling overwhelmed to W01 60-second Status Update. Reach out to student to see how you can help.</t>
        </is>
      </c>
    </row>
    <row r="9">
      <c r="A9" s="1" t="inlineStr">
        <is>
          <t>CSE325</t>
        </is>
      </c>
      <c r="B9" s="1" t="inlineStr">
        <is>
          <t>Missing Assignment</t>
        </is>
      </c>
      <c r="C9" s="45" t="inlineStr">
        <is>
          <t>W02 Assignment: ASP.NET Core</t>
        </is>
      </c>
      <c r="D9" s="23" t="n">
        <v>3</v>
      </c>
      <c r="E9" s="23" t="n">
        <v>2</v>
      </c>
      <c r="F9" s="23" t="n"/>
      <c r="G9" s="24" t="n"/>
      <c r="H9" s="24" t="inlineStr">
        <is>
          <t>y</t>
        </is>
      </c>
      <c r="I9" s="26">
        <f>DATE(YEAR(Setup!$C$4),MONTH(Setup!$C$4),DAY(Setup!$C$4)+((D9-1)*7)+(E9-WEEKDAY(DATE(YEAR(Setup!$C$4),MONTH(Setup!$C$4),DAY(Setup!$C$4)),1)))</f>
        <v/>
      </c>
      <c r="J9" s="26">
        <f>I9+3</f>
        <v/>
      </c>
      <c r="K9" s="26">
        <f>(I9 + (7 - WEEKDAY(I9,1))) + 1</f>
        <v/>
      </c>
      <c r="L9" s="23">
        <f>F9*G9</f>
        <v/>
      </c>
      <c r="M9" s="1" t="inlineStr">
        <is>
          <t>Missing Assignment: W02 Assignment: Submit Module #1</t>
        </is>
      </c>
      <c r="N9" s="1" t="inlineStr">
        <is>
          <t>Check in with student missing W02 Assignment: ASP.NET Core</t>
        </is>
      </c>
    </row>
    <row r="10">
      <c r="A10" s="1" t="inlineStr">
        <is>
          <t>CSE325</t>
        </is>
      </c>
      <c r="B10" s="1" t="inlineStr">
        <is>
          <t>Grader-Issued 0</t>
        </is>
      </c>
      <c r="C10" s="45" t="inlineStr">
        <is>
          <t>W02 Assignment: ASP.NET Core</t>
        </is>
      </c>
      <c r="D10" s="23" t="n">
        <v>3</v>
      </c>
      <c r="E10" s="23" t="n">
        <v>4</v>
      </c>
      <c r="F10" s="23" t="n">
        <v>10</v>
      </c>
      <c r="G10" s="24" t="n"/>
      <c r="H10" s="24" t="inlineStr">
        <is>
          <t>y</t>
        </is>
      </c>
      <c r="I10" s="26">
        <f>DATE(YEAR(Setup!$C$4),MONTH(Setup!$C$4),DAY(Setup!$C$4)+((D10-1)*7)+(E10-WEEKDAY(DATE(YEAR(Setup!$C$4),MONTH(Setup!$C$4),DAY(Setup!$C$4)),1)))</f>
        <v/>
      </c>
      <c r="J10" s="26">
        <f>I10+3</f>
        <v/>
      </c>
      <c r="K10" s="26">
        <f>(I10 + (7 - WEEKDAY(I10,1))) + 1</f>
        <v/>
      </c>
      <c r="L10" s="23">
        <f>F10*G10</f>
        <v/>
      </c>
      <c r="M10" s="1" t="inlineStr">
        <is>
          <t>The student was given a Grader issued 0 on W02 Assignment: Submit Module #1</t>
        </is>
      </c>
      <c r="N10" s="44" t="inlineStr">
        <is>
          <t>Grader issued 0 for W02 Assignment: ASP.NET Core. Log into Canvas and see the grader comments. Work with the student to help resubmit.</t>
        </is>
      </c>
    </row>
    <row r="11">
      <c r="A11" s="1" t="inlineStr">
        <is>
          <t>CSE325</t>
        </is>
      </c>
      <c r="B11" s="1" t="inlineStr">
        <is>
          <t>High Performance</t>
        </is>
      </c>
      <c r="C11" s="45" t="inlineStr">
        <is>
          <t>W02 Assignment: ASP.NET Core</t>
        </is>
      </c>
      <c r="D11" s="23" t="n">
        <v>3</v>
      </c>
      <c r="E11" s="23" t="n">
        <v>5</v>
      </c>
      <c r="F11" s="23" t="n">
        <v>10</v>
      </c>
      <c r="G11" s="24" t="n">
        <v>0.9</v>
      </c>
      <c r="H11" s="24" t="inlineStr">
        <is>
          <t>y</t>
        </is>
      </c>
      <c r="I11" s="26">
        <f>DATE(YEAR(Setup!$C$4),MONTH(Setup!$C$4),DAY(Setup!$C$4)+((D11-1)*7)+(E11-WEEKDAY(DATE(YEAR(Setup!$C$4),MONTH(Setup!$C$4),DAY(Setup!$C$4)),1)))</f>
        <v/>
      </c>
      <c r="J11" s="26">
        <f>I11+3</f>
        <v/>
      </c>
      <c r="K11" s="26">
        <f>(I11 + (7 - WEEKDAY(I11,1))) + 1</f>
        <v/>
      </c>
      <c r="L11" s="23">
        <f>F11*G11</f>
        <v/>
      </c>
      <c r="M11" s="1" t="inlineStr">
        <is>
          <t>High Performance: W02 Assignment: Submit Module #1</t>
        </is>
      </c>
      <c r="N11" s="1" t="inlineStr">
        <is>
          <t>Provide Positive Feedback on W02 Assignment: ASP.NET Core</t>
        </is>
      </c>
    </row>
    <row r="12">
      <c r="A12" s="1" t="inlineStr">
        <is>
          <t>CSE325</t>
        </is>
      </c>
      <c r="B12" s="1" t="inlineStr">
        <is>
          <t>Low Performance</t>
        </is>
      </c>
      <c r="C12" s="45" t="inlineStr">
        <is>
          <t>W02 Assignment: ASP.NET Core</t>
        </is>
      </c>
      <c r="D12" s="23" t="n">
        <v>3</v>
      </c>
      <c r="E12" s="23" t="n">
        <v>5</v>
      </c>
      <c r="F12" s="23" t="n">
        <v>10</v>
      </c>
      <c r="G12" s="24" t="n">
        <v>0.7</v>
      </c>
      <c r="H12" s="24" t="inlineStr">
        <is>
          <t>y</t>
        </is>
      </c>
      <c r="I12" s="26">
        <f>DATE(YEAR(Setup!$C$4),MONTH(Setup!$C$4),DAY(Setup!$C$4)+((D12-1)*7)+(E12-WEEKDAY(DATE(YEAR(Setup!$C$4),MONTH(Setup!$C$4),DAY(Setup!$C$4)),1)))</f>
        <v/>
      </c>
      <c r="J12" s="26">
        <f>I12+3</f>
        <v/>
      </c>
      <c r="K12" s="26">
        <f>(I12 + (7 - WEEKDAY(I12,1))) + 1</f>
        <v/>
      </c>
      <c r="L12" s="23">
        <f>F12*G12</f>
        <v/>
      </c>
      <c r="M12" s="1" t="inlineStr">
        <is>
          <t>Low Performance: W02 Assignment: Submit Module #1</t>
        </is>
      </c>
      <c r="N12" s="1" t="inlineStr">
        <is>
          <t xml:space="preserve">At Risk. Student scored below 70% on W02 Assignment: ASP.NET Core. Check in to see how you can help. </t>
        </is>
      </c>
    </row>
    <row r="13">
      <c r="A13" s="1" t="inlineStr">
        <is>
          <t>CSE325</t>
        </is>
      </c>
      <c r="B13" s="1" t="inlineStr">
        <is>
          <t>Quiz Question</t>
        </is>
      </c>
      <c r="C13" s="45" t="inlineStr">
        <is>
          <t>W02 60-second Status Update: NeedHelp Answer: Yes</t>
        </is>
      </c>
      <c r="D13" s="23" t="n">
        <v>3</v>
      </c>
      <c r="E13" s="23" t="n">
        <v>2</v>
      </c>
      <c r="F13" s="23" t="n"/>
      <c r="G13" s="24" t="n"/>
      <c r="H13" s="24" t="n"/>
      <c r="I13" s="26" t="n"/>
      <c r="J13" s="26" t="n"/>
      <c r="K13" s="26" t="n"/>
      <c r="M13" s="1" t="inlineStr">
        <is>
          <t>Response to W02 60-second Status Update - Student responded they are overwhelmed.</t>
        </is>
      </c>
      <c r="N13" s="1" t="inlineStr">
        <is>
          <t>Student responded feeling overwhelmed to W02 60-second Status Update. Reach out to student to see how you can help.</t>
        </is>
      </c>
    </row>
    <row r="14">
      <c r="A14" s="1" t="inlineStr">
        <is>
          <t>CSE325</t>
        </is>
      </c>
      <c r="B14" s="1" t="inlineStr">
        <is>
          <t>Missing Assignment</t>
        </is>
      </c>
      <c r="C14" s="1" t="inlineStr">
        <is>
          <t>W03 Assignment: .NET Blazor Application</t>
        </is>
      </c>
      <c r="D14" s="23" t="n">
        <v>4</v>
      </c>
      <c r="E14" s="23" t="n">
        <v>2</v>
      </c>
      <c r="F14" s="23" t="inlineStr">
        <is>
          <t xml:space="preserve"> </t>
        </is>
      </c>
      <c r="G14" s="24" t="n"/>
      <c r="H14" s="24" t="inlineStr">
        <is>
          <t>y</t>
        </is>
      </c>
      <c r="I14" s="26">
        <f>DATE(YEAR(Setup!$C$4),MONTH(Setup!$C$4),DAY(Setup!$C$4)+((D14-1)*7)+(E14-WEEKDAY(DATE(YEAR(Setup!$C$4),MONTH(Setup!$C$4),DAY(Setup!$C$4)),1)))</f>
        <v/>
      </c>
      <c r="J14" s="26">
        <f>I14+3</f>
        <v/>
      </c>
      <c r="K14" s="26">
        <f>(I14 + (7 - WEEKDAY(I14,1))) + 1</f>
        <v/>
      </c>
      <c r="L14" s="23">
        <f>F14*G14</f>
        <v/>
      </c>
      <c r="M14" s="1" t="inlineStr">
        <is>
          <t>Missing Assignment: W03 Assignment: Plan Module #2</t>
        </is>
      </c>
      <c r="N14" s="1" t="inlineStr">
        <is>
          <t>Check in with student missing W03 Assignment: .NET Blazor Application</t>
        </is>
      </c>
    </row>
    <row r="15">
      <c r="A15" s="1" t="inlineStr">
        <is>
          <t>CSE325</t>
        </is>
      </c>
      <c r="B15" s="1" t="inlineStr">
        <is>
          <t>Grader-Issued 0</t>
        </is>
      </c>
      <c r="C15" s="1" t="inlineStr">
        <is>
          <t>W03 Assignment: .NET Blazor Application</t>
        </is>
      </c>
      <c r="D15" s="23" t="n">
        <v>4</v>
      </c>
      <c r="E15" s="23" t="n">
        <v>4</v>
      </c>
      <c r="F15" s="23" t="n">
        <v>10</v>
      </c>
      <c r="G15" s="24" t="n"/>
      <c r="H15" s="24" t="inlineStr">
        <is>
          <t>y</t>
        </is>
      </c>
      <c r="I15" s="26">
        <f>DATE(YEAR(Setup!$C$4),MONTH(Setup!$C$4),DAY(Setup!$C$4)+((D15-1)*7)+(E15-WEEKDAY(DATE(YEAR(Setup!$C$4),MONTH(Setup!$C$4),DAY(Setup!$C$4)),1)))</f>
        <v/>
      </c>
      <c r="J15" s="26">
        <f>I15+3</f>
        <v/>
      </c>
      <c r="K15" s="26">
        <f>(I15 + (7 - WEEKDAY(I15,1))) + 1</f>
        <v/>
      </c>
      <c r="L15" s="23">
        <f>F15*G15</f>
        <v/>
      </c>
      <c r="M15" s="1" t="inlineStr">
        <is>
          <t>The student was given a Grader issued 0 on W03 Assignment: Plan Module #2</t>
        </is>
      </c>
      <c r="N15" s="44" t="inlineStr">
        <is>
          <t>Grader issued 0 for W03 Assignment: .NET Blazor Application. Log into Canvas and see the grader comments. Work with the student to help resubmit.</t>
        </is>
      </c>
    </row>
    <row r="16">
      <c r="A16" s="1" t="inlineStr">
        <is>
          <t>CSE325</t>
        </is>
      </c>
      <c r="B16" s="1" t="inlineStr">
        <is>
          <t>Scheduled - Low Current Grade</t>
        </is>
      </c>
      <c r="C16" s="1" t="inlineStr">
        <is>
          <t>Withdraw Deadline Reminder</t>
        </is>
      </c>
      <c r="D16" s="23" t="n">
        <v>4</v>
      </c>
      <c r="E16" s="23" t="n">
        <v>4</v>
      </c>
      <c r="F16" s="23" t="n"/>
      <c r="G16" s="24" t="n">
        <v>0.5</v>
      </c>
      <c r="H16" s="24" t="inlineStr">
        <is>
          <t>y</t>
        </is>
      </c>
      <c r="I16" s="26">
        <f>DATE(YEAR(Setup!$C$4),MONTH(Setup!$C$4),DAY(Setup!$C$4)+((D16-1)*7)+(E16-WEEKDAY(DATE(YEAR(Setup!$C$4),MONTH(Setup!$C$4),DAY(Setup!$C$4)),1)))</f>
        <v/>
      </c>
      <c r="J16" s="26">
        <f>I16+3</f>
        <v/>
      </c>
      <c r="K16" s="26">
        <f>(I16 + (7 - WEEKDAY(I16,1))) + 1</f>
        <v/>
      </c>
      <c r="L16" s="23">
        <f>F16*G16</f>
        <v/>
      </c>
      <c r="M16" s="1" t="inlineStr">
        <is>
          <t>Failing student. Withdraw Reminder</t>
        </is>
      </c>
      <c r="N16" s="1" t="inlineStr">
        <is>
          <t>Email students who are currently failing with little chance to catch up, reminding them of the withdraw deadline.</t>
        </is>
      </c>
    </row>
    <row r="17">
      <c r="A17" s="1" t="inlineStr">
        <is>
          <t>CSE325</t>
        </is>
      </c>
      <c r="B17" s="1" t="inlineStr">
        <is>
          <t>High Performance</t>
        </is>
      </c>
      <c r="C17" s="1" t="inlineStr">
        <is>
          <t>W03 Assignment: .NET Blazor Application</t>
        </is>
      </c>
      <c r="D17" s="23" t="n">
        <v>4</v>
      </c>
      <c r="E17" s="23" t="n">
        <v>5</v>
      </c>
      <c r="F17" s="23" t="n">
        <v>10</v>
      </c>
      <c r="G17" s="24" t="n">
        <v>0.9</v>
      </c>
      <c r="H17" s="24" t="inlineStr">
        <is>
          <t>y</t>
        </is>
      </c>
      <c r="I17" s="26">
        <f>DATE(YEAR(Setup!$C$4),MONTH(Setup!$C$4),DAY(Setup!$C$4)+((D17-1)*7)+(E17-WEEKDAY(DATE(YEAR(Setup!$C$4),MONTH(Setup!$C$4),DAY(Setup!$C$4)),1)))</f>
        <v/>
      </c>
      <c r="J17" s="26">
        <f>I17+3</f>
        <v/>
      </c>
      <c r="K17" s="26">
        <f>(I17 + (7 - WEEKDAY(I17,1))) + 1</f>
        <v/>
      </c>
      <c r="L17" s="23">
        <f>F17*G17</f>
        <v/>
      </c>
      <c r="M17" s="1" t="inlineStr">
        <is>
          <t>High Performance: W03 Assignment: Plan Module #2</t>
        </is>
      </c>
      <c r="N17" s="1" t="inlineStr">
        <is>
          <t>Provide Positive Feedback on W03 Assignment: .NET Blazor Application</t>
        </is>
      </c>
    </row>
    <row r="18">
      <c r="A18" s="1" t="inlineStr">
        <is>
          <t>CSE325</t>
        </is>
      </c>
      <c r="B18" s="1" t="inlineStr">
        <is>
          <t>Low Performance</t>
        </is>
      </c>
      <c r="C18" s="1" t="inlineStr">
        <is>
          <t>W03 Assignment: .NET Blazor Application</t>
        </is>
      </c>
      <c r="D18" s="23" t="n">
        <v>4</v>
      </c>
      <c r="E18" s="23" t="n">
        <v>5</v>
      </c>
      <c r="F18" s="23" t="n">
        <v>10</v>
      </c>
      <c r="G18" s="24" t="n">
        <v>0.7</v>
      </c>
      <c r="H18" s="24" t="inlineStr">
        <is>
          <t>y</t>
        </is>
      </c>
      <c r="I18" s="26">
        <f>DATE(YEAR(Setup!$C$4),MONTH(Setup!$C$4),DAY(Setup!$C$4)+((D18-1)*7)+(E18-WEEKDAY(DATE(YEAR(Setup!$C$4),MONTH(Setup!$C$4),DAY(Setup!$C$4)),1)))</f>
        <v/>
      </c>
      <c r="J18" s="26">
        <f>I18+3</f>
        <v/>
      </c>
      <c r="K18" s="26">
        <f>(I18 + (7 - WEEKDAY(I18,1))) + 1</f>
        <v/>
      </c>
      <c r="L18" s="23">
        <f>F18*G18</f>
        <v/>
      </c>
      <c r="M18" s="1" t="inlineStr">
        <is>
          <t>Low Performance: W03 Assignment: Plan Module #2</t>
        </is>
      </c>
      <c r="N18" s="1" t="inlineStr">
        <is>
          <t xml:space="preserve">At Risk. Student scored below 70% on W03 Assignment: .NET Blazor Application. Check in to see how you can help. </t>
        </is>
      </c>
    </row>
    <row r="19">
      <c r="A19" s="1" t="inlineStr">
        <is>
          <t>CSE325</t>
        </is>
      </c>
      <c r="B19" s="1" t="inlineStr">
        <is>
          <t>Quiz Question</t>
        </is>
      </c>
      <c r="C19" s="45" t="inlineStr">
        <is>
          <t>W03 60-second Status Update: NeedHelp Answer: Yes</t>
        </is>
      </c>
      <c r="D19" s="23" t="n">
        <v>4</v>
      </c>
      <c r="E19" s="23" t="n">
        <v>2</v>
      </c>
      <c r="F19" s="23" t="n"/>
      <c r="G19" s="24" t="n"/>
      <c r="H19" s="24" t="n"/>
      <c r="I19" s="26" t="n"/>
      <c r="J19" s="26" t="n"/>
      <c r="K19" s="26" t="n"/>
      <c r="M19" s="1" t="inlineStr">
        <is>
          <t>Response to W03 60-second Status Update - Student responded they are overwhelmed.</t>
        </is>
      </c>
      <c r="N19" s="1" t="inlineStr">
        <is>
          <t>Student responded feeling overwhelmed to W03 60-second Status Update. Reach out to student to see how you can help.</t>
        </is>
      </c>
    </row>
    <row r="20">
      <c r="A20" s="1" t="inlineStr">
        <is>
          <t>CSE325</t>
        </is>
      </c>
      <c r="B20" s="1" t="inlineStr">
        <is>
          <t>Missing Assignment</t>
        </is>
      </c>
      <c r="C20" s="1" t="inlineStr">
        <is>
          <t>W04 Assignment: .NET Blazor Application</t>
        </is>
      </c>
      <c r="D20" s="23" t="n">
        <v>5</v>
      </c>
      <c r="E20" s="23" t="n">
        <v>2</v>
      </c>
      <c r="F20" s="23" t="inlineStr">
        <is>
          <t xml:space="preserve"> </t>
        </is>
      </c>
      <c r="G20" s="24" t="n"/>
      <c r="H20" s="24" t="inlineStr">
        <is>
          <t>y</t>
        </is>
      </c>
      <c r="I20" s="26">
        <f>DATE(YEAR(Setup!$C$4),MONTH(Setup!$C$4),DAY(Setup!$C$4)+((D20-1)*7)+(E20-WEEKDAY(DATE(YEAR(Setup!$C$4),MONTH(Setup!$C$4),DAY(Setup!$C$4)),1)))</f>
        <v/>
      </c>
      <c r="J20" s="26">
        <f>I20+3</f>
        <v/>
      </c>
      <c r="K20" s="26">
        <f>(I20 + (7 - WEEKDAY(I20,1))) + 1</f>
        <v/>
      </c>
      <c r="L20" s="23">
        <f>F20*G20</f>
        <v/>
      </c>
      <c r="M20" s="1" t="inlineStr">
        <is>
          <t>Missing Assignment: W04 Assignment: Submit Module #2</t>
        </is>
      </c>
      <c r="N20" s="1" t="inlineStr">
        <is>
          <t>Check in with student missing W04 Assignment: .NET Blazor Application</t>
        </is>
      </c>
    </row>
    <row r="21">
      <c r="A21" s="1" t="inlineStr">
        <is>
          <t>CSE325</t>
        </is>
      </c>
      <c r="B21" s="1" t="inlineStr">
        <is>
          <t>Grader-Issued 0</t>
        </is>
      </c>
      <c r="C21" s="1" t="inlineStr">
        <is>
          <t>W04 Assignment: .NET Blazor Application</t>
        </is>
      </c>
      <c r="D21" s="23" t="n">
        <v>5</v>
      </c>
      <c r="E21" s="23" t="n">
        <v>4</v>
      </c>
      <c r="F21" s="23" t="n">
        <v>10</v>
      </c>
      <c r="G21" s="24" t="n"/>
      <c r="H21" s="24" t="inlineStr">
        <is>
          <t>y</t>
        </is>
      </c>
      <c r="I21" s="26">
        <f>DATE(YEAR(Setup!$C$4),MONTH(Setup!$C$4),DAY(Setup!$C$4)+((D21-1)*7)+(E21-WEEKDAY(DATE(YEAR(Setup!$C$4),MONTH(Setup!$C$4),DAY(Setup!$C$4)),1)))</f>
        <v/>
      </c>
      <c r="J21" s="26">
        <f>I21+3</f>
        <v/>
      </c>
      <c r="K21" s="26">
        <f>(I21 + (7 - WEEKDAY(I21,1))) + 1</f>
        <v/>
      </c>
      <c r="L21" s="23">
        <f>F21*G21</f>
        <v/>
      </c>
      <c r="M21" s="1" t="inlineStr">
        <is>
          <t>The student was given a Grader issued 0 on W04 Assignment: Submit Module #2</t>
        </is>
      </c>
      <c r="N21" s="44" t="inlineStr">
        <is>
          <t>Grader issued 0 for W04 Assignment: .NET Blazor Application. Log into Canvas and see the grader comments. Work with the student to help resubmit.</t>
        </is>
      </c>
    </row>
    <row r="22">
      <c r="A22" s="1" t="inlineStr">
        <is>
          <t>CSE325</t>
        </is>
      </c>
      <c r="B22" s="1" t="inlineStr">
        <is>
          <t>Scheduled - Classwide</t>
        </is>
      </c>
      <c r="C22" s="1" t="inlineStr">
        <is>
          <t>Registration Reminder 1</t>
        </is>
      </c>
      <c r="D22" s="23" t="n">
        <v>5</v>
      </c>
      <c r="E22" s="23" t="n">
        <v>4</v>
      </c>
      <c r="F22" s="23" t="n"/>
      <c r="G22" s="24" t="n"/>
      <c r="H22" s="24" t="inlineStr">
        <is>
          <t>y</t>
        </is>
      </c>
      <c r="I22" s="26">
        <f>DATE(YEAR(Setup!$C$4),MONTH(Setup!$C$4),DAY(Setup!$C$4)+((D22-1)*7)+(E22-WEEKDAY(DATE(YEAR(Setup!$C$4),MONTH(Setup!$C$4),DAY(Setup!$C$4)),1)))</f>
        <v/>
      </c>
      <c r="J22" s="26">
        <f>I22+3</f>
        <v/>
      </c>
      <c r="K22" s="26">
        <f>(I22 + (7 - WEEKDAY(I22,1))) + 1</f>
        <v/>
      </c>
      <c r="L22" s="23">
        <f>F22*G22</f>
        <v/>
      </c>
      <c r="M22" s="1" t="inlineStr">
        <is>
          <t>Registration Reminder 1</t>
        </is>
      </c>
      <c r="N22" s="43" t="inlineStr">
        <is>
          <t>Send a message to all students, reminding them that registration for the next block is now open and encouraging them to go and take action.</t>
        </is>
      </c>
    </row>
    <row r="23">
      <c r="A23" s="1" t="inlineStr">
        <is>
          <t>CSE325</t>
        </is>
      </c>
      <c r="B23" s="1" t="inlineStr">
        <is>
          <t>High Performance</t>
        </is>
      </c>
      <c r="C23" s="1" t="inlineStr">
        <is>
          <t>W04 Assignment: .NET Blazor Application</t>
        </is>
      </c>
      <c r="D23" s="23" t="n">
        <v>5</v>
      </c>
      <c r="E23" s="23" t="n">
        <v>5</v>
      </c>
      <c r="F23" s="23" t="n">
        <v>10</v>
      </c>
      <c r="G23" s="24" t="n">
        <v>0.9</v>
      </c>
      <c r="H23" s="24" t="inlineStr">
        <is>
          <t>y</t>
        </is>
      </c>
      <c r="I23" s="26">
        <f>DATE(YEAR(Setup!$C$4),MONTH(Setup!$C$4),DAY(Setup!$C$4)+((D23-1)*7)+(E23-WEEKDAY(DATE(YEAR(Setup!$C$4),MONTH(Setup!$C$4),DAY(Setup!$C$4)),1)))</f>
        <v/>
      </c>
      <c r="J23" s="26">
        <f>I23+3</f>
        <v/>
      </c>
      <c r="K23" s="26">
        <f>(I23 + (7 - WEEKDAY(I23,1))) + 1</f>
        <v/>
      </c>
      <c r="L23" s="23">
        <f>F23*G23</f>
        <v/>
      </c>
      <c r="M23" s="1" t="inlineStr">
        <is>
          <t>High Performance: W04 Assignment: Submit Module #2</t>
        </is>
      </c>
      <c r="N23" s="1" t="inlineStr">
        <is>
          <t>Provide Positive Feedback on W04 Assignment: .NET Blazor Application</t>
        </is>
      </c>
    </row>
    <row r="24">
      <c r="A24" s="1" t="inlineStr">
        <is>
          <t>CSE325</t>
        </is>
      </c>
      <c r="B24" s="1" t="inlineStr">
        <is>
          <t>Low Performance</t>
        </is>
      </c>
      <c r="C24" s="1" t="inlineStr">
        <is>
          <t>W04 Assignment: .NET Blazor Application</t>
        </is>
      </c>
      <c r="D24" s="23" t="n">
        <v>5</v>
      </c>
      <c r="E24" s="23" t="n">
        <v>5</v>
      </c>
      <c r="F24" s="23" t="n">
        <v>10</v>
      </c>
      <c r="G24" s="24" t="n">
        <v>0.7</v>
      </c>
      <c r="H24" s="24" t="inlineStr">
        <is>
          <t>y</t>
        </is>
      </c>
      <c r="I24" s="26">
        <f>DATE(YEAR(Setup!$C$4),MONTH(Setup!$C$4),DAY(Setup!$C$4)+((D24-1)*7)+(E24-WEEKDAY(DATE(YEAR(Setup!$C$4),MONTH(Setup!$C$4),DAY(Setup!$C$4)),1)))</f>
        <v/>
      </c>
      <c r="J24" s="26">
        <f>I24+3</f>
        <v/>
      </c>
      <c r="K24" s="26">
        <f>(I24 + (7 - WEEKDAY(I24,1))) + 1</f>
        <v/>
      </c>
      <c r="L24" s="23">
        <f>F24*G24</f>
        <v/>
      </c>
      <c r="M24" s="1" t="inlineStr">
        <is>
          <t>Low Performance: W04 Assignment: Submit Module #2</t>
        </is>
      </c>
      <c r="N24" s="1" t="inlineStr">
        <is>
          <t xml:space="preserve">At Risk. Student scored below 70% on W04 Assignment: .NET Blazor Application. Check in to see how you can help. </t>
        </is>
      </c>
    </row>
    <row r="25">
      <c r="A25" s="1" t="inlineStr">
        <is>
          <t>CSE325</t>
        </is>
      </c>
      <c r="B25" s="1" t="inlineStr">
        <is>
          <t>Quiz Question</t>
        </is>
      </c>
      <c r="C25" s="45" t="inlineStr">
        <is>
          <t>W04 60-second Status Update: NeedHelp Answer: Yes</t>
        </is>
      </c>
      <c r="D25" s="23" t="n">
        <v>5</v>
      </c>
      <c r="E25" s="23" t="n">
        <v>2</v>
      </c>
      <c r="F25" s="23" t="n"/>
      <c r="G25" s="24" t="n"/>
      <c r="H25" s="24" t="n"/>
      <c r="I25" s="26" t="n"/>
      <c r="J25" s="26" t="n"/>
      <c r="K25" s="26" t="n"/>
      <c r="M25" s="1" t="inlineStr">
        <is>
          <t>Response to W04 60-second Status Update - Student responded they are overwhelmed.</t>
        </is>
      </c>
      <c r="N25" s="1" t="inlineStr">
        <is>
          <t>Student responded feeling overwhelmed to W04 60-second Status Update. Reach out to student to see how you can help.</t>
        </is>
      </c>
    </row>
    <row r="26">
      <c r="A26" s="1" t="inlineStr">
        <is>
          <t>CSE325</t>
        </is>
      </c>
      <c r="B26" s="1" t="inlineStr">
        <is>
          <t>Missing Assignment</t>
        </is>
      </c>
      <c r="C26" s="1" t="inlineStr">
        <is>
          <t>W05 Team Activity: Project Checkpoint</t>
        </is>
      </c>
      <c r="D26" s="23" t="n">
        <v>6</v>
      </c>
      <c r="E26" s="23" t="n">
        <v>2</v>
      </c>
      <c r="F26" s="23" t="inlineStr">
        <is>
          <t xml:space="preserve"> </t>
        </is>
      </c>
      <c r="G26" s="24" t="n"/>
      <c r="H26" s="24" t="inlineStr">
        <is>
          <t>y</t>
        </is>
      </c>
      <c r="I26" s="26">
        <f>DATE(YEAR(Setup!$C$4),MONTH(Setup!$C$4),DAY(Setup!$C$4)+((D26-1)*7)+(E26-WEEKDAY(DATE(YEAR(Setup!$C$4),MONTH(Setup!$C$4),DAY(Setup!$C$4)),1)))</f>
        <v/>
      </c>
      <c r="J26" s="26">
        <f>I26+3</f>
        <v/>
      </c>
      <c r="K26" s="26">
        <f>(I26 + (7 - WEEKDAY(I26,1))) + 1</f>
        <v/>
      </c>
      <c r="L26" s="23">
        <f>F26*G26</f>
        <v/>
      </c>
      <c r="M26" s="1" t="inlineStr">
        <is>
          <t>Missing Assignment: W05 Assignment: Plan Module #3</t>
        </is>
      </c>
      <c r="N26" s="1" t="inlineStr">
        <is>
          <t>Check in with student missing W05 Team Activity: Project Checkpoint</t>
        </is>
      </c>
    </row>
    <row r="27">
      <c r="A27" s="1" t="inlineStr">
        <is>
          <t>CSE325</t>
        </is>
      </c>
      <c r="B27" s="1" t="inlineStr">
        <is>
          <t>Grader-Issued 0</t>
        </is>
      </c>
      <c r="C27" s="1" t="inlineStr">
        <is>
          <t>W05 Team Activity: Project Checkpoint</t>
        </is>
      </c>
      <c r="D27" s="23" t="n">
        <v>6</v>
      </c>
      <c r="E27" s="23" t="n">
        <v>4</v>
      </c>
      <c r="F27" s="23" t="n">
        <v>10</v>
      </c>
      <c r="G27" s="24" t="n"/>
      <c r="H27" s="24" t="inlineStr">
        <is>
          <t>y</t>
        </is>
      </c>
      <c r="I27" s="26">
        <f>DATE(YEAR(Setup!$C$4),MONTH(Setup!$C$4),DAY(Setup!$C$4)+((D27-1)*7)+(E27-WEEKDAY(DATE(YEAR(Setup!$C$4),MONTH(Setup!$C$4),DAY(Setup!$C$4)),1)))</f>
        <v/>
      </c>
      <c r="J27" s="26">
        <f>I27+3</f>
        <v/>
      </c>
      <c r="K27" s="26">
        <f>(I27 + (7 - WEEKDAY(I27,1))) + 1</f>
        <v/>
      </c>
      <c r="L27" s="23">
        <f>F27*G27</f>
        <v/>
      </c>
      <c r="M27" s="1" t="inlineStr">
        <is>
          <t>The student was given a Grader issued 0 on W05 Assignment: Plan Module #3</t>
        </is>
      </c>
      <c r="N27" s="44" t="inlineStr">
        <is>
          <t>Grader issued 0 for W05 Team Activity: Project Checkpoint. Log into Canvas and see the grader comments. Work with the student to help resubmit.</t>
        </is>
      </c>
    </row>
    <row r="28">
      <c r="A28" s="1" t="inlineStr">
        <is>
          <t>CSE325</t>
        </is>
      </c>
      <c r="B28" s="1" t="inlineStr">
        <is>
          <t>High Performance</t>
        </is>
      </c>
      <c r="C28" s="1" t="inlineStr">
        <is>
          <t>W05 Team Activity: Project Checkpoint</t>
        </is>
      </c>
      <c r="D28" s="23" t="n">
        <v>6</v>
      </c>
      <c r="E28" s="23" t="n">
        <v>5</v>
      </c>
      <c r="F28" s="23" t="n">
        <v>10</v>
      </c>
      <c r="G28" s="24" t="n">
        <v>0.9</v>
      </c>
      <c r="H28" s="24" t="inlineStr">
        <is>
          <t>y</t>
        </is>
      </c>
      <c r="I28" s="26">
        <f>DATE(YEAR(Setup!$C$4),MONTH(Setup!$C$4),DAY(Setup!$C$4)+((D28-1)*7)+(E28-WEEKDAY(DATE(YEAR(Setup!$C$4),MONTH(Setup!$C$4),DAY(Setup!$C$4)),1)))</f>
        <v/>
      </c>
      <c r="J28" s="26">
        <f>I28+3</f>
        <v/>
      </c>
      <c r="K28" s="26">
        <f>(I28 + (7 - WEEKDAY(I28,1))) + 1</f>
        <v/>
      </c>
      <c r="L28" s="23">
        <f>F28*G28</f>
        <v/>
      </c>
      <c r="M28" s="1" t="inlineStr">
        <is>
          <t>High Performance: W05 Assignment: Plan Module #3</t>
        </is>
      </c>
      <c r="N28" s="1" t="inlineStr">
        <is>
          <t>Provide Positive Feedback on W05 Team Activity: Project Checkpoint</t>
        </is>
      </c>
    </row>
    <row r="29">
      <c r="A29" s="1" t="inlineStr">
        <is>
          <t>CSE325</t>
        </is>
      </c>
      <c r="B29" s="1" t="inlineStr">
        <is>
          <t>Low Performance</t>
        </is>
      </c>
      <c r="C29" s="1" t="inlineStr">
        <is>
          <t>W05 Team Activity: Project Checkpoint</t>
        </is>
      </c>
      <c r="D29" s="23" t="n">
        <v>6</v>
      </c>
      <c r="E29" s="23" t="n">
        <v>5</v>
      </c>
      <c r="F29" s="23" t="n">
        <v>10</v>
      </c>
      <c r="G29" s="24" t="n">
        <v>0.7</v>
      </c>
      <c r="H29" s="24" t="inlineStr">
        <is>
          <t>y</t>
        </is>
      </c>
      <c r="I29" s="26">
        <f>DATE(YEAR(Setup!$C$4),MONTH(Setup!$C$4),DAY(Setup!$C$4)+((D29-1)*7)+(E29-WEEKDAY(DATE(YEAR(Setup!$C$4),MONTH(Setup!$C$4),DAY(Setup!$C$4)),1)))</f>
        <v/>
      </c>
      <c r="J29" s="26">
        <f>I29+3</f>
        <v/>
      </c>
      <c r="K29" s="26">
        <f>(I29 + (7 - WEEKDAY(I29,1))) + 1</f>
        <v/>
      </c>
      <c r="L29" s="23">
        <f>F29*G29</f>
        <v/>
      </c>
      <c r="M29" s="1" t="inlineStr">
        <is>
          <t>Low Performance: W05 Assignment: Plan Module #3</t>
        </is>
      </c>
      <c r="N29" s="1" t="inlineStr">
        <is>
          <t xml:space="preserve">At Risk. Student scored below 70% on W05 Team Activity: Project Checkpoint. Check in to see how you can help. </t>
        </is>
      </c>
    </row>
    <row r="30">
      <c r="A30" s="1" t="inlineStr">
        <is>
          <t>CSE325</t>
        </is>
      </c>
      <c r="B30" s="1" t="inlineStr">
        <is>
          <t>Quiz Question</t>
        </is>
      </c>
      <c r="C30" s="45" t="inlineStr">
        <is>
          <t>W05 60-second Status Update: NeedHelp Answer: Yes</t>
        </is>
      </c>
      <c r="D30" s="23" t="n">
        <v>6</v>
      </c>
      <c r="E30" s="23" t="n">
        <v>2</v>
      </c>
      <c r="F30" s="23" t="n"/>
      <c r="G30" s="24" t="n"/>
      <c r="H30" s="24" t="n"/>
      <c r="I30" s="26" t="n"/>
      <c r="J30" s="26" t="n"/>
      <c r="K30" s="26" t="n"/>
      <c r="M30" s="1" t="inlineStr">
        <is>
          <t>Response to W05 60-second Status Update - Student responded they are overwhelmed.</t>
        </is>
      </c>
      <c r="N30" s="1" t="inlineStr">
        <is>
          <t>Student responded feeling overwhelmed to W05 60-second Status Update. Reach out to student to see how you can help.</t>
        </is>
      </c>
    </row>
    <row r="31">
      <c r="A31" s="1" t="inlineStr">
        <is>
          <t>CSE325</t>
        </is>
      </c>
      <c r="B31" s="1" t="inlineStr">
        <is>
          <t>Scheduled - Classwide</t>
        </is>
      </c>
      <c r="C31" s="1" t="inlineStr">
        <is>
          <t>Registration Reminder 2</t>
        </is>
      </c>
      <c r="D31" s="23" t="n">
        <v>7</v>
      </c>
      <c r="E31" s="23" t="n">
        <v>1</v>
      </c>
      <c r="F31" s="23" t="n"/>
      <c r="G31" s="24" t="n"/>
      <c r="H31" s="24" t="inlineStr">
        <is>
          <t>y</t>
        </is>
      </c>
      <c r="I31" s="26">
        <f>DATE(YEAR(Setup!$C$4),MONTH(Setup!$C$4),DAY(Setup!$C$4)+((D31-1)*7)+(E31-WEEKDAY(DATE(YEAR(Setup!$C$4),MONTH(Setup!$C$4),DAY(Setup!$C$4)),1)))</f>
        <v/>
      </c>
      <c r="J31" s="26">
        <f>I31+3</f>
        <v/>
      </c>
      <c r="K31" s="26">
        <f>(I31 + (7 - WEEKDAY(I31,1))) + 1</f>
        <v/>
      </c>
      <c r="L31" s="23">
        <f>F31*G31</f>
        <v/>
      </c>
      <c r="M31" s="1" t="inlineStr">
        <is>
          <t>Registration Reminder 2</t>
        </is>
      </c>
      <c r="N31" s="43" t="inlineStr">
        <is>
          <t>Send a message to all students, reminding them that registration for the next block is still open, but will be closing soon. Encourage them to go in and register as soon as possible.</t>
        </is>
      </c>
    </row>
    <row r="32">
      <c r="A32" s="1" t="inlineStr">
        <is>
          <t>CSE325</t>
        </is>
      </c>
      <c r="B32" s="1" t="inlineStr">
        <is>
          <t>Scheduled - Classwide</t>
        </is>
      </c>
      <c r="C32" s="1" t="inlineStr">
        <is>
          <t>End of Block Reminder</t>
        </is>
      </c>
      <c r="D32" s="23" t="n">
        <v>7</v>
      </c>
      <c r="E32" s="23" t="n">
        <v>2</v>
      </c>
      <c r="F32" s="23" t="n"/>
      <c r="G32" s="24" t="n"/>
      <c r="H32" s="24" t="inlineStr">
        <is>
          <t>y</t>
        </is>
      </c>
      <c r="I32" s="26">
        <f>DATE(YEAR(Setup!$C$4),MONTH(Setup!$C$4),DAY(Setup!$C$4)+((D32-1)*7)+(E32-WEEKDAY(DATE(YEAR(Setup!$C$4),MONTH(Setup!$C$4),DAY(Setup!$C$4)),1)))</f>
        <v/>
      </c>
      <c r="J32" s="26">
        <f>I32+3</f>
        <v/>
      </c>
      <c r="K32" s="26">
        <f>(I32 + (7 - WEEKDAY(I32,1))) + 1</f>
        <v/>
      </c>
      <c r="L32" s="23">
        <f>F32*G32</f>
        <v/>
      </c>
      <c r="M32" s="1" t="inlineStr">
        <is>
          <t>End of Block Reminder</t>
        </is>
      </c>
      <c r="N32" s="44" t="inlineStr">
        <is>
          <t>Remind Students the course will be closing, submit assignments by deadline, complete End-of-Course Evaluation</t>
        </is>
      </c>
    </row>
    <row r="33">
      <c r="G33" s="2" t="n"/>
      <c r="H33" s="2" t="n"/>
      <c r="I33" s="26">
        <f>DATE(YEAR(Setup!$C$4),MONTH(Setup!$C$4),DAY(Setup!$C$4)+((D33-1)*7)+(E33-WEEKDAY(DATE(YEAR(Setup!$C$4),MONTH(Setup!$C$4),DAY(Setup!$C$4)),1)))</f>
        <v/>
      </c>
      <c r="J33" s="26">
        <f>I33+3</f>
        <v/>
      </c>
      <c r="K33" s="26">
        <f>(I33 + (7 - WEEKDAY(I33,1))) + 1</f>
        <v/>
      </c>
      <c r="L33" s="23">
        <f>F33*G33</f>
        <v/>
      </c>
    </row>
    <row r="34">
      <c r="G34" s="2" t="n"/>
      <c r="H34" s="2" t="n"/>
      <c r="I34" s="26">
        <f>DATE(YEAR(Setup!$C$4),MONTH(Setup!$C$4),DAY(Setup!$C$4)+((D34-1)*7)+(E34-WEEKDAY(DATE(YEAR(Setup!$C$4),MONTH(Setup!$C$4),DAY(Setup!$C$4)),1)))</f>
        <v/>
      </c>
      <c r="J34" s="26">
        <f>I34+3</f>
        <v/>
      </c>
      <c r="K34" s="26">
        <f>(I34 + (7 - WEEKDAY(I34,1))) + 1</f>
        <v/>
      </c>
      <c r="L34" s="23">
        <f>F34*G34</f>
        <v/>
      </c>
    </row>
    <row r="35">
      <c r="B35" s="3" t="n"/>
      <c r="G35" s="2" t="n"/>
      <c r="H35" s="2" t="n"/>
      <c r="I35" s="26">
        <f>DATE(YEAR(Setup!$C$4),MONTH(Setup!$C$4),DAY(Setup!$C$4)+((D35-1)*7)+(E35-WEEKDAY(DATE(YEAR(Setup!$C$4),MONTH(Setup!$C$4),DAY(Setup!$C$4)),1)))</f>
        <v/>
      </c>
      <c r="J35" s="26">
        <f>I35+3</f>
        <v/>
      </c>
      <c r="K35" s="26">
        <f>(I35 + (7 - WEEKDAY(I35,1))) + 1</f>
        <v/>
      </c>
      <c r="L35" s="23">
        <f>F35*G35</f>
        <v/>
      </c>
    </row>
    <row r="36">
      <c r="G36" s="2" t="n"/>
      <c r="H36" s="2" t="n"/>
      <c r="I36" s="26">
        <f>DATE(YEAR(Setup!$C$4),MONTH(Setup!$C$4),DAY(Setup!$C$4)+((D36-1)*7)+(E36-WEEKDAY(DATE(YEAR(Setup!$C$4),MONTH(Setup!$C$4),DAY(Setup!$C$4)),1)))</f>
        <v/>
      </c>
      <c r="J36" s="26">
        <f>I36+3</f>
        <v/>
      </c>
      <c r="K36" s="26">
        <f>(I36 + (7 - WEEKDAY(I36,1))) + 1</f>
        <v/>
      </c>
      <c r="L36" s="23">
        <f>F36*G36</f>
        <v/>
      </c>
    </row>
    <row r="37">
      <c r="G37" s="2" t="n"/>
      <c r="H37" s="2" t="n"/>
      <c r="I37" s="26">
        <f>DATE(YEAR(Setup!$C$4),MONTH(Setup!$C$4),DAY(Setup!$C$4)+((D37-1)*7)+(E37-WEEKDAY(DATE(YEAR(Setup!$C$4),MONTH(Setup!$C$4),DAY(Setup!$C$4)),1)))</f>
        <v/>
      </c>
      <c r="J37" s="26">
        <f>I37+3</f>
        <v/>
      </c>
      <c r="K37" s="26">
        <f>(I37 + (7 - WEEKDAY(I37,1))) + 1</f>
        <v/>
      </c>
      <c r="L37" s="23">
        <f>F37*G37</f>
        <v/>
      </c>
    </row>
    <row r="38">
      <c r="G38" s="2" t="n"/>
      <c r="H38" s="2" t="n"/>
      <c r="I38" s="26">
        <f>DATE(YEAR(Setup!$C$4),MONTH(Setup!$C$4),DAY(Setup!$C$4)+((D38-1)*7)+(E38-WEEKDAY(DATE(YEAR(Setup!$C$4),MONTH(Setup!$C$4),DAY(Setup!$C$4)),1)))</f>
        <v/>
      </c>
      <c r="J38" s="26">
        <f>I38+3</f>
        <v/>
      </c>
      <c r="K38" s="26">
        <f>(I38 + (7 - WEEKDAY(I38,1))) + 1</f>
        <v/>
      </c>
      <c r="L38" s="23">
        <f>F38*G38</f>
        <v/>
      </c>
    </row>
    <row r="39">
      <c r="B39" s="3" t="n"/>
      <c r="G39" s="2" t="n"/>
      <c r="H39" s="2" t="n"/>
      <c r="I39" s="26">
        <f>DATE(YEAR(Setup!$C$4),MONTH(Setup!$C$4),DAY(Setup!$C$4)+((D39-1)*7)+(E39-WEEKDAY(DATE(YEAR(Setup!$C$4),MONTH(Setup!$C$4),DAY(Setup!$C$4)),1)))</f>
        <v/>
      </c>
      <c r="J39" s="26">
        <f>I39+3</f>
        <v/>
      </c>
      <c r="K39" s="26">
        <f>(I39 + (7 - WEEKDAY(I39,1))) + 1</f>
        <v/>
      </c>
      <c r="L39" s="23">
        <f>F39*G39</f>
        <v/>
      </c>
    </row>
    <row r="40">
      <c r="G40" s="2" t="n"/>
      <c r="H40" s="2" t="n"/>
      <c r="I40" s="26">
        <f>DATE(YEAR(Setup!$C$4),MONTH(Setup!$C$4),DAY(Setup!$C$4)+((D40-1)*7)+(E40-WEEKDAY(DATE(YEAR(Setup!$C$4),MONTH(Setup!$C$4),DAY(Setup!$C$4)),1)))</f>
        <v/>
      </c>
      <c r="J40" s="26">
        <f>I40+3</f>
        <v/>
      </c>
      <c r="K40" s="26">
        <f>(I40 + (7 - WEEKDAY(I40,1))) + 1</f>
        <v/>
      </c>
      <c r="L40" s="23">
        <f>F40*G40</f>
        <v/>
      </c>
    </row>
    <row r="41">
      <c r="G41" s="2" t="n"/>
      <c r="H41" s="2" t="n"/>
      <c r="I41" s="26">
        <f>DATE(YEAR(Setup!$C$4),MONTH(Setup!$C$4),DAY(Setup!$C$4)+((D41-1)*7)+(E41-WEEKDAY(DATE(YEAR(Setup!$C$4),MONTH(Setup!$C$4),DAY(Setup!$C$4)),1)))</f>
        <v/>
      </c>
      <c r="J41" s="26">
        <f>I41+3</f>
        <v/>
      </c>
      <c r="K41" s="26">
        <f>(I41 + (7 - WEEKDAY(I41,1))) + 1</f>
        <v/>
      </c>
      <c r="L41" s="23">
        <f>F41*G41</f>
        <v/>
      </c>
    </row>
    <row r="42">
      <c r="G42" s="2" t="n"/>
      <c r="H42" s="2" t="n"/>
      <c r="I42" s="26">
        <f>DATE(YEAR(Setup!$C$4),MONTH(Setup!$C$4),DAY(Setup!$C$4)+((D42-1)*7)+(E42-WEEKDAY(DATE(YEAR(Setup!$C$4),MONTH(Setup!$C$4),DAY(Setup!$C$4)),1)))</f>
        <v/>
      </c>
      <c r="J42" s="26">
        <f>I42+3</f>
        <v/>
      </c>
      <c r="K42" s="26">
        <f>(I42 + (7 - WEEKDAY(I42,1))) + 1</f>
        <v/>
      </c>
      <c r="L42" s="23">
        <f>F42*G42</f>
        <v/>
      </c>
    </row>
    <row r="43">
      <c r="G43" s="2" t="n"/>
      <c r="H43" s="2" t="n"/>
      <c r="I43" s="26">
        <f>DATE(YEAR(Setup!$C$4),MONTH(Setup!$C$4),DAY(Setup!$C$4)+((D43-1)*7)+(E43-WEEKDAY(DATE(YEAR(Setup!$C$4),MONTH(Setup!$C$4),DAY(Setup!$C$4)),1)))</f>
        <v/>
      </c>
      <c r="J43" s="26">
        <f>I43+3</f>
        <v/>
      </c>
      <c r="K43" s="26">
        <f>(I43 + (7 - WEEKDAY(I43,1))) + 1</f>
        <v/>
      </c>
      <c r="L43" s="23">
        <f>F43*G43</f>
        <v/>
      </c>
    </row>
    <row r="44">
      <c r="G44" s="2" t="n"/>
      <c r="H44" s="2" t="n"/>
      <c r="I44" s="26">
        <f>DATE(YEAR(Setup!$C$4),MONTH(Setup!$C$4),DAY(Setup!$C$4)+((D44-1)*7)+(E44-WEEKDAY(DATE(YEAR(Setup!$C$4),MONTH(Setup!$C$4),DAY(Setup!$C$4)),1)))</f>
        <v/>
      </c>
      <c r="J44" s="26">
        <f>I44+3</f>
        <v/>
      </c>
      <c r="K44" s="26">
        <f>(I44 + (7 - WEEKDAY(I44,1))) + 1</f>
        <v/>
      </c>
      <c r="L44" s="23">
        <f>F44*G44</f>
        <v/>
      </c>
    </row>
    <row r="45">
      <c r="G45" s="2" t="n"/>
      <c r="H45" s="2" t="n"/>
      <c r="I45" s="26">
        <f>DATE(YEAR(Setup!$C$4),MONTH(Setup!$C$4),DAY(Setup!$C$4)+((D45-1)*7)+(E45-WEEKDAY(DATE(YEAR(Setup!$C$4),MONTH(Setup!$C$4),DAY(Setup!$C$4)),1)))</f>
        <v/>
      </c>
      <c r="J45" s="26">
        <f>I45+3</f>
        <v/>
      </c>
      <c r="K45" s="26">
        <f>(I45 + (7 - WEEKDAY(I45,1))) + 1</f>
        <v/>
      </c>
      <c r="L45" s="23">
        <f>F45*G45</f>
        <v/>
      </c>
    </row>
    <row r="46">
      <c r="G46" s="2" t="n"/>
      <c r="H46" s="2" t="n"/>
      <c r="I46" s="26">
        <f>DATE(YEAR(Setup!$C$4),MONTH(Setup!$C$4),DAY(Setup!$C$4)+((D46-1)*7)+(E46-WEEKDAY(DATE(YEAR(Setup!$C$4),MONTH(Setup!$C$4),DAY(Setup!$C$4)),1)))</f>
        <v/>
      </c>
      <c r="J46" s="26">
        <f>I46+3</f>
        <v/>
      </c>
      <c r="K46" s="26">
        <f>(I46 + (7 - WEEKDAY(I46,1))) + 1</f>
        <v/>
      </c>
      <c r="L46" s="23">
        <f>F46*G46</f>
        <v/>
      </c>
    </row>
    <row r="47">
      <c r="G47" s="2" t="n"/>
      <c r="H47" s="2" t="n"/>
      <c r="I47" s="26">
        <f>DATE(YEAR(Setup!$C$4),MONTH(Setup!$C$4),DAY(Setup!$C$4)+((D47-1)*7)+(E47-WEEKDAY(DATE(YEAR(Setup!$C$4),MONTH(Setup!$C$4),DAY(Setup!$C$4)),1)))</f>
        <v/>
      </c>
      <c r="J47" s="26">
        <f>I47+3</f>
        <v/>
      </c>
      <c r="K47" s="26">
        <f>(I47 + (7 - WEEKDAY(I47,1))) + 1</f>
        <v/>
      </c>
      <c r="L47" s="23">
        <f>F47*G47</f>
        <v/>
      </c>
    </row>
    <row r="48">
      <c r="G48" s="2" t="n"/>
      <c r="H48" s="2" t="n"/>
      <c r="I48" s="26">
        <f>DATE(YEAR(Setup!$C$4),MONTH(Setup!$C$4),DAY(Setup!$C$4)+((D48-1)*7)+(E48-WEEKDAY(DATE(YEAR(Setup!$C$4),MONTH(Setup!$C$4),DAY(Setup!$C$4)),1)))</f>
        <v/>
      </c>
      <c r="J48" s="26">
        <f>I48+3</f>
        <v/>
      </c>
      <c r="K48" s="26">
        <f>(I48 + (7 - WEEKDAY(I48,1))) + 1</f>
        <v/>
      </c>
      <c r="L48" s="23">
        <f>F48*G48</f>
        <v/>
      </c>
    </row>
    <row r="49">
      <c r="G49" s="2" t="n"/>
      <c r="H49" s="2" t="n"/>
      <c r="I49" s="26">
        <f>DATE(YEAR(Setup!$C$4),MONTH(Setup!$C$4),DAY(Setup!$C$4)+((D49-1)*7)+(E49-WEEKDAY(DATE(YEAR(Setup!$C$4),MONTH(Setup!$C$4),DAY(Setup!$C$4)),1)))</f>
        <v/>
      </c>
      <c r="J49" s="26">
        <f>I49+3</f>
        <v/>
      </c>
      <c r="K49" s="26">
        <f>(I49 + (7 - WEEKDAY(I49,1))) + 1</f>
        <v/>
      </c>
      <c r="L49" s="23">
        <f>F49*G49</f>
        <v/>
      </c>
    </row>
    <row r="50">
      <c r="G50" s="2" t="n"/>
      <c r="H50" s="2" t="n"/>
      <c r="I50" s="26">
        <f>DATE(YEAR(Setup!$C$4),MONTH(Setup!$C$4),DAY(Setup!$C$4)+((D50-1)*7)+(E50-WEEKDAY(DATE(YEAR(Setup!$C$4),MONTH(Setup!$C$4),DAY(Setup!$C$4)),1)))</f>
        <v/>
      </c>
      <c r="J50" s="26">
        <f>I50+3</f>
        <v/>
      </c>
      <c r="K50" s="26">
        <f>(I50 + (7 - WEEKDAY(I50,1))) + 1</f>
        <v/>
      </c>
      <c r="L50" s="23">
        <f>F50*G50</f>
        <v/>
      </c>
    </row>
    <row r="51">
      <c r="G51" s="2" t="n"/>
      <c r="H51" s="2" t="n"/>
      <c r="I51" s="26">
        <f>DATE(YEAR(Setup!$C$4),MONTH(Setup!$C$4),DAY(Setup!$C$4)+((D51-1)*7)+(E51-WEEKDAY(DATE(YEAR(Setup!$C$4),MONTH(Setup!$C$4),DAY(Setup!$C$4)),1)))</f>
        <v/>
      </c>
      <c r="J51" s="26">
        <f>I51+3</f>
        <v/>
      </c>
      <c r="K51" s="26">
        <f>(I51 + (7 - WEEKDAY(I51,1))) + 1</f>
        <v/>
      </c>
      <c r="L51" s="23">
        <f>F51*G51</f>
        <v/>
      </c>
    </row>
    <row r="52">
      <c r="G52" s="2" t="n"/>
      <c r="H52" s="2" t="n"/>
      <c r="I52" s="26">
        <f>DATE(YEAR(Setup!$C$4),MONTH(Setup!$C$4),DAY(Setup!$C$4)+((D52-1)*7)+(E52-WEEKDAY(DATE(YEAR(Setup!$C$4),MONTH(Setup!$C$4),DAY(Setup!$C$4)),1)))</f>
        <v/>
      </c>
      <c r="J52" s="26">
        <f>I52+3</f>
        <v/>
      </c>
      <c r="K52" s="26">
        <f>(I52 + (7 - WEEKDAY(I52,1))) + 1</f>
        <v/>
      </c>
      <c r="L52" s="23">
        <f>F52*G52</f>
        <v/>
      </c>
    </row>
    <row r="53">
      <c r="G53" s="2" t="n"/>
      <c r="H53" s="2" t="n"/>
      <c r="I53" s="26">
        <f>DATE(YEAR(Setup!$C$4),MONTH(Setup!$C$4),DAY(Setup!$C$4)+((D53-1)*7)+(E53-WEEKDAY(DATE(YEAR(Setup!$C$4),MONTH(Setup!$C$4),DAY(Setup!$C$4)),1)))</f>
        <v/>
      </c>
      <c r="J53" s="26">
        <f>I53+3</f>
        <v/>
      </c>
      <c r="K53" s="26">
        <f>(I53 + (7 - WEEKDAY(I53,1))) + 1</f>
        <v/>
      </c>
      <c r="L53" s="23">
        <f>F53*G53</f>
        <v/>
      </c>
    </row>
    <row r="54">
      <c r="G54" s="2" t="n"/>
      <c r="H54" s="2" t="n"/>
      <c r="I54" s="26">
        <f>DATE(YEAR(Setup!$C$4),MONTH(Setup!$C$4),DAY(Setup!$C$4)+((D54-1)*7)+(E54-WEEKDAY(DATE(YEAR(Setup!$C$4),MONTH(Setup!$C$4),DAY(Setup!$C$4)),1)))</f>
        <v/>
      </c>
      <c r="J54" s="26">
        <f>I54+3</f>
        <v/>
      </c>
      <c r="K54" s="26">
        <f>(I54 + (7 - WEEKDAY(I54,1))) + 1</f>
        <v/>
      </c>
      <c r="L54" s="23">
        <f>F54*G54</f>
        <v/>
      </c>
    </row>
    <row r="55">
      <c r="G55" s="2" t="n"/>
      <c r="H55" s="2" t="n"/>
      <c r="I55" s="26">
        <f>DATE(YEAR(Setup!$C$4),MONTH(Setup!$C$4),DAY(Setup!$C$4)+((D55-1)*7)+(E55-WEEKDAY(DATE(YEAR(Setup!$C$4),MONTH(Setup!$C$4),DAY(Setup!$C$4)),1)))</f>
        <v/>
      </c>
      <c r="J55" s="26">
        <f>I55+3</f>
        <v/>
      </c>
      <c r="K55" s="26">
        <f>(I55 + (7 - WEEKDAY(I55,1))) + 1</f>
        <v/>
      </c>
      <c r="L55" s="23">
        <f>F55*G55</f>
        <v/>
      </c>
    </row>
    <row r="56">
      <c r="G56" s="2" t="n"/>
      <c r="H56" s="2" t="n"/>
      <c r="I56" s="26">
        <f>DATE(YEAR(Setup!$C$4),MONTH(Setup!$C$4),DAY(Setup!$C$4)+((D56-1)*7)+(E56-WEEKDAY(DATE(YEAR(Setup!$C$4),MONTH(Setup!$C$4),DAY(Setup!$C$4)),1)))</f>
        <v/>
      </c>
      <c r="J56" s="26">
        <f>I56+3</f>
        <v/>
      </c>
      <c r="K56" s="26">
        <f>(I56 + (7 - WEEKDAY(I56,1))) + 1</f>
        <v/>
      </c>
      <c r="L56" s="23">
        <f>F56*G56</f>
        <v/>
      </c>
    </row>
    <row r="57">
      <c r="G57" s="2" t="n"/>
      <c r="H57" s="2" t="n"/>
      <c r="I57" s="26">
        <f>DATE(YEAR(Setup!$C$4),MONTH(Setup!$C$4),DAY(Setup!$C$4)+((D57-1)*7)+(E57-WEEKDAY(DATE(YEAR(Setup!$C$4),MONTH(Setup!$C$4),DAY(Setup!$C$4)),1)))</f>
        <v/>
      </c>
      <c r="J57" s="26">
        <f>I57+3</f>
        <v/>
      </c>
      <c r="K57" s="26">
        <f>(I57 + (7 - WEEKDAY(I57,1))) + 1</f>
        <v/>
      </c>
      <c r="L57" s="23">
        <f>F57*G57</f>
        <v/>
      </c>
    </row>
    <row r="58">
      <c r="G58" s="2" t="n"/>
      <c r="H58" s="2" t="n"/>
      <c r="I58" s="26">
        <f>DATE(YEAR(Setup!$C$4),MONTH(Setup!$C$4),DAY(Setup!$C$4)+((D58-1)*7)+(E58-WEEKDAY(DATE(YEAR(Setup!$C$4),MONTH(Setup!$C$4),DAY(Setup!$C$4)),1)))</f>
        <v/>
      </c>
      <c r="J58" s="26">
        <f>I58+3</f>
        <v/>
      </c>
      <c r="K58" s="26">
        <f>(I58 + (7 - WEEKDAY(I58,1))) + 1</f>
        <v/>
      </c>
      <c r="L58" s="23">
        <f>F58*G58</f>
        <v/>
      </c>
    </row>
    <row r="59">
      <c r="G59" s="2" t="n"/>
      <c r="H59" s="2" t="n"/>
      <c r="I59" s="26">
        <f>DATE(YEAR(Setup!$C$4),MONTH(Setup!$C$4),DAY(Setup!$C$4)+((D59-1)*7)+(E59-WEEKDAY(DATE(YEAR(Setup!$C$4),MONTH(Setup!$C$4),DAY(Setup!$C$4)),1)))</f>
        <v/>
      </c>
      <c r="J59" s="26">
        <f>I59+3</f>
        <v/>
      </c>
      <c r="K59" s="26">
        <f>(I59 + (7 - WEEKDAY(I59,1))) + 1</f>
        <v/>
      </c>
      <c r="L59" s="23">
        <f>F59*G59</f>
        <v/>
      </c>
    </row>
    <row r="60">
      <c r="G60" s="2" t="n"/>
      <c r="H60" s="2" t="n"/>
      <c r="I60" s="26">
        <f>DATE(YEAR(Setup!$C$4),MONTH(Setup!$C$4),DAY(Setup!$C$4)+((D60-1)*7)+(E60-WEEKDAY(DATE(YEAR(Setup!$C$4),MONTH(Setup!$C$4),DAY(Setup!$C$4)),1)))</f>
        <v/>
      </c>
      <c r="J60" s="26">
        <f>I60+3</f>
        <v/>
      </c>
      <c r="K60" s="26">
        <f>(I60 + (7 - WEEKDAY(I60,1))) + 1</f>
        <v/>
      </c>
      <c r="L60" s="23">
        <f>F60*G60</f>
        <v/>
      </c>
    </row>
    <row r="61">
      <c r="G61" s="2" t="n"/>
      <c r="H61" s="2" t="n"/>
      <c r="I61" s="26">
        <f>DATE(YEAR(Setup!$C$4),MONTH(Setup!$C$4),DAY(Setup!$C$4)+((D61-1)*7)+(E61-WEEKDAY(DATE(YEAR(Setup!$C$4),MONTH(Setup!$C$4),DAY(Setup!$C$4)),1)))</f>
        <v/>
      </c>
      <c r="J61" s="26">
        <f>I61+3</f>
        <v/>
      </c>
      <c r="K61" s="26">
        <f>(I61 + (7 - WEEKDAY(I61,1))) + 1</f>
        <v/>
      </c>
      <c r="L61" s="23">
        <f>F61*G61</f>
        <v/>
      </c>
    </row>
    <row r="62">
      <c r="G62" s="2" t="n"/>
      <c r="H62" s="2" t="n"/>
      <c r="I62" s="26">
        <f>DATE(YEAR(Setup!$C$4),MONTH(Setup!$C$4),DAY(Setup!$C$4)+((D62-1)*7)+(E62-WEEKDAY(DATE(YEAR(Setup!$C$4),MONTH(Setup!$C$4),DAY(Setup!$C$4)),1)))</f>
        <v/>
      </c>
      <c r="J62" s="26">
        <f>I62+3</f>
        <v/>
      </c>
      <c r="K62" s="26">
        <f>(I62 + (7 - WEEKDAY(I62,1))) + 1</f>
        <v/>
      </c>
      <c r="L62" s="23">
        <f>F62*G62</f>
        <v/>
      </c>
    </row>
    <row r="63">
      <c r="G63" s="2" t="n"/>
      <c r="H63" s="2" t="n"/>
      <c r="I63" s="26">
        <f>DATE(YEAR(Setup!$C$4),MONTH(Setup!$C$4),DAY(Setup!$C$4)+((D63-1)*7)+(E63-WEEKDAY(DATE(YEAR(Setup!$C$4),MONTH(Setup!$C$4),DAY(Setup!$C$4)),1)))</f>
        <v/>
      </c>
      <c r="J63" s="26">
        <f>I63+3</f>
        <v/>
      </c>
      <c r="K63" s="26">
        <f>(I63 + (7 - WEEKDAY(I63,1))) + 1</f>
        <v/>
      </c>
      <c r="L63" s="23">
        <f>F63*G63</f>
        <v/>
      </c>
    </row>
    <row r="64">
      <c r="G64" s="2" t="n"/>
      <c r="H64" s="2" t="n"/>
      <c r="I64" s="26">
        <f>DATE(YEAR(Setup!$C$4),MONTH(Setup!$C$4),DAY(Setup!$C$4)+((D64-1)*7)+(E64-WEEKDAY(DATE(YEAR(Setup!$C$4),MONTH(Setup!$C$4),DAY(Setup!$C$4)),1)))</f>
        <v/>
      </c>
      <c r="J64" s="26">
        <f>I64+3</f>
        <v/>
      </c>
      <c r="K64" s="26">
        <f>(I64 + (7 - WEEKDAY(I64,1))) + 1</f>
        <v/>
      </c>
      <c r="L64" s="23">
        <f>F64*G64</f>
        <v/>
      </c>
    </row>
    <row r="65">
      <c r="G65" s="2" t="n"/>
      <c r="H65" s="2" t="n"/>
      <c r="I65" s="26">
        <f>DATE(YEAR(Setup!$C$4),MONTH(Setup!$C$4),DAY(Setup!$C$4)+((D65-1)*7)+(E65-WEEKDAY(DATE(YEAR(Setup!$C$4),MONTH(Setup!$C$4),DAY(Setup!$C$4)),1)))</f>
        <v/>
      </c>
      <c r="J65" s="26">
        <f>I65+3</f>
        <v/>
      </c>
      <c r="K65" s="26">
        <f>(I65 + (7 - WEEKDAY(I65,1))) + 1</f>
        <v/>
      </c>
      <c r="L65" s="23">
        <f>F65*G65</f>
        <v/>
      </c>
    </row>
    <row r="66">
      <c r="G66" s="2" t="n"/>
      <c r="H66" s="2" t="n"/>
      <c r="I66" s="26">
        <f>DATE(YEAR(Setup!$C$4),MONTH(Setup!$C$4),DAY(Setup!$C$4)+((D66-1)*7)+(E66-WEEKDAY(DATE(YEAR(Setup!$C$4),MONTH(Setup!$C$4),DAY(Setup!$C$4)),1)))</f>
        <v/>
      </c>
      <c r="J66" s="26">
        <f>I66+3</f>
        <v/>
      </c>
      <c r="K66" s="26">
        <f>(I66 + (7 - WEEKDAY(I66,1))) + 1</f>
        <v/>
      </c>
      <c r="L66" s="23">
        <f>F66*G66</f>
        <v/>
      </c>
    </row>
    <row r="67">
      <c r="G67" s="2" t="n"/>
      <c r="H67" s="2" t="n"/>
      <c r="I67" s="26">
        <f>DATE(YEAR(Setup!$C$4),MONTH(Setup!$C$4),DAY(Setup!$C$4)+((D67-1)*7)+(E67-WEEKDAY(DATE(YEAR(Setup!$C$4),MONTH(Setup!$C$4),DAY(Setup!$C$4)),1)))</f>
        <v/>
      </c>
      <c r="J67" s="26">
        <f>I67+3</f>
        <v/>
      </c>
      <c r="K67" s="26">
        <f>(I67 + (7 - WEEKDAY(I67,1))) + 1</f>
        <v/>
      </c>
      <c r="L67" s="23">
        <f>F67*G67</f>
        <v/>
      </c>
    </row>
    <row r="68">
      <c r="G68" s="2" t="n"/>
      <c r="H68" s="2" t="n"/>
      <c r="I68" s="26">
        <f>DATE(YEAR(Setup!$C$4),MONTH(Setup!$C$4),DAY(Setup!$C$4)+((D68-1)*7)+(E68-WEEKDAY(DATE(YEAR(Setup!$C$4),MONTH(Setup!$C$4),DAY(Setup!$C$4)),1)))</f>
        <v/>
      </c>
      <c r="J68" s="26">
        <f>I68+3</f>
        <v/>
      </c>
      <c r="K68" s="26">
        <f>(I68 + (7 - WEEKDAY(I68,1))) + 1</f>
        <v/>
      </c>
      <c r="L68" s="23">
        <f>F68*G68</f>
        <v/>
      </c>
    </row>
    <row r="69">
      <c r="G69" s="2" t="n"/>
      <c r="H69" s="2" t="n"/>
      <c r="I69" s="26">
        <f>DATE(YEAR(Setup!$C$4),MONTH(Setup!$C$4),DAY(Setup!$C$4)+((D69-1)*7)+(E69-WEEKDAY(DATE(YEAR(Setup!$C$4),MONTH(Setup!$C$4),DAY(Setup!$C$4)),1)))</f>
        <v/>
      </c>
      <c r="J69" s="26">
        <f>I69+3</f>
        <v/>
      </c>
      <c r="K69" s="26">
        <f>(I69 + (7 - WEEKDAY(I69,1))) + 1</f>
        <v/>
      </c>
      <c r="L69" s="23">
        <f>F69*G69</f>
        <v/>
      </c>
    </row>
    <row r="70">
      <c r="G70" s="2" t="n"/>
      <c r="H70" s="2" t="n"/>
      <c r="I70" s="26">
        <f>DATE(YEAR(Setup!$C$4),MONTH(Setup!$C$4),DAY(Setup!$C$4)+((D70-1)*7)+(E70-WEEKDAY(DATE(YEAR(Setup!$C$4),MONTH(Setup!$C$4),DAY(Setup!$C$4)),1)))</f>
        <v/>
      </c>
      <c r="J70" s="26">
        <f>I70+3</f>
        <v/>
      </c>
      <c r="K70" s="26">
        <f>(I70 + (7 - WEEKDAY(I70,1))) + 1</f>
        <v/>
      </c>
      <c r="L70" s="23">
        <f>F70*G70</f>
        <v/>
      </c>
    </row>
    <row r="71">
      <c r="G71" s="2" t="n"/>
      <c r="H71" s="2" t="n"/>
      <c r="I71" s="26">
        <f>DATE(YEAR(Setup!$C$4),MONTH(Setup!$C$4),DAY(Setup!$C$4)+((D71-1)*7)+(E71-WEEKDAY(DATE(YEAR(Setup!$C$4),MONTH(Setup!$C$4),DAY(Setup!$C$4)),1)))</f>
        <v/>
      </c>
      <c r="J71" s="26">
        <f>I71+3</f>
        <v/>
      </c>
      <c r="K71" s="26">
        <f>(I71 + (7 - WEEKDAY(I71,1))) + 1</f>
        <v/>
      </c>
      <c r="L71" s="23">
        <f>F71*G71</f>
        <v/>
      </c>
    </row>
    <row r="72">
      <c r="G72" s="2" t="n"/>
      <c r="H72" s="2" t="n"/>
      <c r="I72" s="26">
        <f>DATE(YEAR(Setup!$C$4),MONTH(Setup!$C$4),DAY(Setup!$C$4)+((D72-1)*7)+(E72-WEEKDAY(DATE(YEAR(Setup!$C$4),MONTH(Setup!$C$4),DAY(Setup!$C$4)),1)))</f>
        <v/>
      </c>
      <c r="J72" s="26">
        <f>I72+3</f>
        <v/>
      </c>
      <c r="K72" s="26">
        <f>(I72 + (7 - WEEKDAY(I72,1))) + 1</f>
        <v/>
      </c>
      <c r="L72" s="23">
        <f>F72*G72</f>
        <v/>
      </c>
    </row>
    <row r="73">
      <c r="G73" s="2" t="n"/>
      <c r="H73" s="2" t="n"/>
      <c r="I73" s="26">
        <f>DATE(YEAR(Setup!$C$4),MONTH(Setup!$C$4),DAY(Setup!$C$4)+((D73-1)*7)+(E73-WEEKDAY(DATE(YEAR(Setup!$C$4),MONTH(Setup!$C$4),DAY(Setup!$C$4)),1)))</f>
        <v/>
      </c>
      <c r="J73" s="26">
        <f>I73+3</f>
        <v/>
      </c>
      <c r="K73" s="26">
        <f>(I73 + (7 - WEEKDAY(I73,1))) + 1</f>
        <v/>
      </c>
      <c r="L73" s="23">
        <f>F73*G73</f>
        <v/>
      </c>
    </row>
    <row r="74">
      <c r="G74" s="2" t="n"/>
      <c r="H74" s="2" t="n"/>
      <c r="I74" s="26">
        <f>DATE(YEAR(Setup!$C$4),MONTH(Setup!$C$4),DAY(Setup!$C$4)+((D74-1)*7)+(E74-WEEKDAY(DATE(YEAR(Setup!$C$4),MONTH(Setup!$C$4),DAY(Setup!$C$4)),1)))</f>
        <v/>
      </c>
      <c r="J74" s="26">
        <f>I74+3</f>
        <v/>
      </c>
      <c r="K74" s="26">
        <f>(I74 + (7 - WEEKDAY(I74,1))) + 1</f>
        <v/>
      </c>
      <c r="L74" s="23">
        <f>F74*G74</f>
        <v/>
      </c>
    </row>
    <row r="75">
      <c r="G75" s="2" t="n"/>
      <c r="H75" s="2" t="n"/>
      <c r="I75" s="26">
        <f>DATE(YEAR(Setup!$C$4),MONTH(Setup!$C$4),DAY(Setup!$C$4)+((D75-1)*7)+(E75-WEEKDAY(DATE(YEAR(Setup!$C$4),MONTH(Setup!$C$4),DAY(Setup!$C$4)),1)))</f>
        <v/>
      </c>
      <c r="J75" s="26">
        <f>I75+3</f>
        <v/>
      </c>
      <c r="K75" s="26">
        <f>(I75 + (7 - WEEKDAY(I75,1))) + 1</f>
        <v/>
      </c>
      <c r="L75" s="23">
        <f>F75*G75</f>
        <v/>
      </c>
    </row>
    <row r="76">
      <c r="G76" s="2" t="n"/>
      <c r="H76" s="2" t="n"/>
      <c r="I76" s="26">
        <f>DATE(YEAR(Setup!$C$4),MONTH(Setup!$C$4),DAY(Setup!$C$4)+((D76-1)*7)+(E76-WEEKDAY(DATE(YEAR(Setup!$C$4),MONTH(Setup!$C$4),DAY(Setup!$C$4)),1)))</f>
        <v/>
      </c>
      <c r="J76" s="26">
        <f>I76+3</f>
        <v/>
      </c>
      <c r="K76" s="26">
        <f>(I76 + (7 - WEEKDAY(I76,1))) + 1</f>
        <v/>
      </c>
      <c r="L76" s="23">
        <f>F76*G76</f>
        <v/>
      </c>
    </row>
    <row r="77">
      <c r="G77" s="2" t="n"/>
      <c r="H77" s="2" t="n"/>
      <c r="I77" s="26">
        <f>DATE(YEAR(Setup!$C$4),MONTH(Setup!$C$4),DAY(Setup!$C$4)+((D77-1)*7)+(E77-WEEKDAY(DATE(YEAR(Setup!$C$4),MONTH(Setup!$C$4),DAY(Setup!$C$4)),1)))</f>
        <v/>
      </c>
      <c r="J77" s="26">
        <f>I77+3</f>
        <v/>
      </c>
      <c r="K77" s="26">
        <f>(I77 + (7 - WEEKDAY(I77,1))) + 1</f>
        <v/>
      </c>
      <c r="L77" s="23">
        <f>F77*G77</f>
        <v/>
      </c>
    </row>
    <row r="78">
      <c r="G78" s="2" t="n"/>
      <c r="H78" s="2" t="n"/>
      <c r="I78" s="26">
        <f>DATE(YEAR(Setup!$C$4),MONTH(Setup!$C$4),DAY(Setup!$C$4)+((D78-1)*7)+(E78-WEEKDAY(DATE(YEAR(Setup!$C$4),MONTH(Setup!$C$4),DAY(Setup!$C$4)),1)))</f>
        <v/>
      </c>
      <c r="J78" s="26">
        <f>I78+3</f>
        <v/>
      </c>
      <c r="K78" s="26">
        <f>(I78 + (7 - WEEKDAY(I78,1))) + 1</f>
        <v/>
      </c>
      <c r="L78" s="23">
        <f>F78*G78</f>
        <v/>
      </c>
    </row>
    <row r="79">
      <c r="G79" s="2" t="n"/>
      <c r="H79" s="2" t="n"/>
      <c r="I79" s="26">
        <f>DATE(YEAR(Setup!$C$4),MONTH(Setup!$C$4),DAY(Setup!$C$4)+((D79-1)*7)+(E79-WEEKDAY(DATE(YEAR(Setup!$C$4),MONTH(Setup!$C$4),DAY(Setup!$C$4)),1)))</f>
        <v/>
      </c>
      <c r="J79" s="26">
        <f>I79+3</f>
        <v/>
      </c>
      <c r="K79" s="26">
        <f>(I79 + (7 - WEEKDAY(I79,1))) + 1</f>
        <v/>
      </c>
      <c r="L79" s="23">
        <f>F79*G79</f>
        <v/>
      </c>
    </row>
    <row r="80">
      <c r="G80" s="2" t="n"/>
      <c r="H80" s="2" t="n"/>
      <c r="I80" s="26">
        <f>DATE(YEAR(Setup!$C$4),MONTH(Setup!$C$4),DAY(Setup!$C$4)+((D80-1)*7)+(E80-WEEKDAY(DATE(YEAR(Setup!$C$4),MONTH(Setup!$C$4),DAY(Setup!$C$4)),1)))</f>
        <v/>
      </c>
      <c r="J80" s="26">
        <f>I80+3</f>
        <v/>
      </c>
      <c r="K80" s="26">
        <f>(I80 + (7 - WEEKDAY(I80,1))) + 1</f>
        <v/>
      </c>
      <c r="L80" s="23">
        <f>F80*G80</f>
        <v/>
      </c>
    </row>
    <row r="81">
      <c r="G81" s="2" t="n"/>
      <c r="H81" s="2" t="n"/>
      <c r="I81" s="26">
        <f>DATE(YEAR(Setup!$C$4),MONTH(Setup!$C$4),DAY(Setup!$C$4)+((D81-1)*7)+(E81-WEEKDAY(DATE(YEAR(Setup!$C$4),MONTH(Setup!$C$4),DAY(Setup!$C$4)),1)))</f>
        <v/>
      </c>
      <c r="J81" s="26">
        <f>I81+3</f>
        <v/>
      </c>
      <c r="K81" s="26">
        <f>(I81 + (7 - WEEKDAY(I81,1))) + 1</f>
        <v/>
      </c>
      <c r="L81" s="23">
        <f>F81*G81</f>
        <v/>
      </c>
    </row>
    <row r="82">
      <c r="G82" s="2" t="n"/>
      <c r="H82" s="2" t="n"/>
      <c r="I82" s="26">
        <f>DATE(YEAR(Setup!$C$4),MONTH(Setup!$C$4),DAY(Setup!$C$4)+((D82-1)*7)+(E82-WEEKDAY(DATE(YEAR(Setup!$C$4),MONTH(Setup!$C$4),DAY(Setup!$C$4)),1)))</f>
        <v/>
      </c>
      <c r="J82" s="26">
        <f>I82+3</f>
        <v/>
      </c>
      <c r="K82" s="26">
        <f>(I82 + (7 - WEEKDAY(I82,1))) + 1</f>
        <v/>
      </c>
      <c r="L82" s="23">
        <f>F82*G82</f>
        <v/>
      </c>
    </row>
    <row r="83">
      <c r="G83" s="2" t="n"/>
      <c r="H83" s="2" t="n"/>
      <c r="I83" s="26">
        <f>DATE(YEAR(Setup!$C$4),MONTH(Setup!$C$4),DAY(Setup!$C$4)+((D83-1)*7)+(E83-WEEKDAY(DATE(YEAR(Setup!$C$4),MONTH(Setup!$C$4),DAY(Setup!$C$4)),1)))</f>
        <v/>
      </c>
      <c r="J83" s="26">
        <f>I83+3</f>
        <v/>
      </c>
      <c r="K83" s="26">
        <f>(I83 + (7 - WEEKDAY(I83,1))) + 1</f>
        <v/>
      </c>
      <c r="L83" s="23">
        <f>F83*G83</f>
        <v/>
      </c>
    </row>
    <row r="84">
      <c r="G84" s="2" t="n"/>
      <c r="H84" s="2" t="n"/>
      <c r="I84" s="26">
        <f>DATE(YEAR(Setup!$C$4),MONTH(Setup!$C$4),DAY(Setup!$C$4)+((D84-1)*7)+(E84-WEEKDAY(DATE(YEAR(Setup!$C$4),MONTH(Setup!$C$4),DAY(Setup!$C$4)),1)))</f>
        <v/>
      </c>
      <c r="J84" s="26">
        <f>I84+3</f>
        <v/>
      </c>
      <c r="K84" s="26">
        <f>(I84 + (7 - WEEKDAY(I84,1))) + 1</f>
        <v/>
      </c>
      <c r="L84" s="23">
        <f>F84*G84</f>
        <v/>
      </c>
    </row>
    <row r="85">
      <c r="G85" s="2" t="n"/>
      <c r="H85" s="2" t="n"/>
      <c r="I85" s="26">
        <f>DATE(YEAR(Setup!$C$4),MONTH(Setup!$C$4),DAY(Setup!$C$4)+((D85-1)*7)+(E85-WEEKDAY(DATE(YEAR(Setup!$C$4),MONTH(Setup!$C$4),DAY(Setup!$C$4)),1)))</f>
        <v/>
      </c>
      <c r="J85" s="26">
        <f>I85+3</f>
        <v/>
      </c>
      <c r="K85" s="26">
        <f>(I85 + (7 - WEEKDAY(I85,1))) + 1</f>
        <v/>
      </c>
      <c r="L85" s="23">
        <f>F85*G85</f>
        <v/>
      </c>
    </row>
  </sheetData>
  <sheetProtection selectLockedCells="1" selectUnlockedCells="0" algorithmName="SHA-512" sheet="1" objects="0" insertRows="0" insertHyperlinks="1" autoFilter="0" scenarios="0" formatColumns="1" deleteColumns="1" insertColumns="1" pivotTables="1" deleteRows="0" formatCells="0" saltValue="1wSYYyotl0uQsVa/ZJomjA==" formatRows="0" sort="0" spinCount="100000" hashValue="igfxz7PFiMoc47WWbV5bAqavLED713mc5wJrT5GQbaDnRWWddBCd4+DQMMCAY4Vc58plwW0rCgq8gM/doiiBPA=="/>
  <autoFilter ref="A1:N85">
    <sortState ref="A2:N85">
      <sortCondition ref="D1:D85"/>
    </sortState>
  </autoFilter>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2.xml><?xml version="1.0" encoding="utf-8"?>
<worksheet xmlns="http://schemas.openxmlformats.org/spreadsheetml/2006/main">
  <sheetPr codeName="Sheet10">
    <tabColor rgb="FF00B050"/>
    <outlinePr summaryBelow="1" summaryRight="1"/>
    <pageSetUpPr/>
  </sheetPr>
  <dimension ref="A1:N32"/>
  <sheetViews>
    <sheetView workbookViewId="0">
      <pane xSplit="3" topLeftCell="M1" activePane="topRight" state="frozen"/>
      <selection pane="topRight" activeCell="A2" sqref="A2"/>
      <selection activeCell="V2" sqref="V2"/>
    </sheetView>
  </sheetViews>
  <sheetFormatPr baseColWidth="8" defaultColWidth="8.85546875" defaultRowHeight="15"/>
  <cols>
    <col width="13" customWidth="1" style="1" min="1" max="1"/>
    <col width="24.28515625" customWidth="1" style="1" min="2" max="2"/>
    <col width="44.140625" bestFit="1" customWidth="1" style="1" min="3" max="3"/>
    <col width="14.42578125" customWidth="1" style="23" min="4" max="4"/>
    <col width="14" customWidth="1" style="23" min="5" max="6"/>
    <col width="14.14062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CSE340</t>
        </is>
      </c>
      <c r="B2" s="1" t="inlineStr">
        <is>
          <t>New Student Added</t>
        </is>
      </c>
      <c r="C2" s="1" t="inlineStr">
        <is>
          <t>New Student Added</t>
        </is>
      </c>
      <c r="D2" s="23" t="n">
        <v>0</v>
      </c>
      <c r="E2" s="23" t="n">
        <v>2</v>
      </c>
      <c r="G2" s="24" t="n"/>
      <c r="H2" s="24" t="inlineStr">
        <is>
          <t>y</t>
        </is>
      </c>
      <c r="I2" s="26">
        <f>DATE(YEAR(Setup!$C$4),MONTH(Setup!$C$4),DAY(Setup!$C$4)+((D2-1)*7)+(E2-WEEKDAY(DATE(YEAR(Setup!$C$4),MONTH(Setup!$C$4),DAY(Setup!$C$4)),1)))</f>
        <v/>
      </c>
      <c r="J2" s="26">
        <f>I2+3</f>
        <v/>
      </c>
      <c r="K2" s="26">
        <f>(I2 + (7 - WEEKDAY(I2,1))) + 1</f>
        <v/>
      </c>
      <c r="L2" s="23">
        <f>F2*G2</f>
        <v/>
      </c>
      <c r="M2" s="1" t="inlineStr">
        <is>
          <t>Welcome Email</t>
        </is>
      </c>
      <c r="N2" s="37" t="inlineStr">
        <is>
          <t>Send a message to new students to welcome them to class and help them submit any assignments they missed.</t>
        </is>
      </c>
    </row>
    <row r="3">
      <c r="A3" s="1" t="inlineStr">
        <is>
          <t>CSE340</t>
        </is>
      </c>
      <c r="B3" s="1" t="inlineStr">
        <is>
          <t>Scheduled - Not Logged In</t>
        </is>
      </c>
      <c r="C3" s="1" t="inlineStr">
        <is>
          <t>Not Logged In</t>
        </is>
      </c>
      <c r="D3" s="23" t="n">
        <v>1</v>
      </c>
      <c r="E3" s="23" t="n">
        <v>4</v>
      </c>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CSE340</t>
        </is>
      </c>
      <c r="B4" s="1" t="inlineStr">
        <is>
          <t>Missing Assignment</t>
        </is>
      </c>
      <c r="C4" s="45" t="inlineStr">
        <is>
          <t>W01 Assignment: Initial Site Creation</t>
        </is>
      </c>
      <c r="D4" s="23" t="n">
        <v>2</v>
      </c>
      <c r="E4" s="23" t="n">
        <v>2</v>
      </c>
      <c r="F4" s="23" t="n">
        <v>100</v>
      </c>
      <c r="G4" s="24" t="inlineStr">
        <is>
          <t xml:space="preserve"> </t>
        </is>
      </c>
      <c r="H4" s="24" t="inlineStr">
        <is>
          <t>y</t>
        </is>
      </c>
      <c r="I4" s="26">
        <f>DATE(YEAR(Setup!$C$4),MONTH(Setup!$C$4),DAY(Setup!$C$4)+((D4-1)*7)+(E4-WEEKDAY(DATE(YEAR(Setup!$C$4),MONTH(Setup!$C$4),DAY(Setup!$C$4)),1)))</f>
        <v/>
      </c>
      <c r="J4" s="26">
        <f>I4+3</f>
        <v/>
      </c>
      <c r="K4" s="26">
        <f>(I4 + (7 - WEEKDAY(I4,1))) + 1</f>
        <v/>
      </c>
      <c r="L4" s="23">
        <f>F4*G4</f>
        <v/>
      </c>
      <c r="M4" s="1" t="inlineStr">
        <is>
          <t>Missing Assignment: W01 Assignment: Initial Site Creation</t>
        </is>
      </c>
      <c r="N4" s="1" t="inlineStr">
        <is>
          <t>Check in with student missing W01 Assignment: Initial Site Creation</t>
        </is>
      </c>
    </row>
    <row r="5">
      <c r="A5" s="1" t="inlineStr">
        <is>
          <t>CSE340</t>
        </is>
      </c>
      <c r="B5" s="1" t="inlineStr">
        <is>
          <t>Quiz Question</t>
        </is>
      </c>
      <c r="C5" s="1" t="inlineStr">
        <is>
          <t>W01 60-second Status Update: NeedHelp Answer: Yes</t>
        </is>
      </c>
      <c r="D5" s="23" t="n">
        <v>2</v>
      </c>
      <c r="E5" s="23" t="n">
        <v>2</v>
      </c>
      <c r="G5" s="24" t="n"/>
      <c r="H5" s="24" t="inlineStr">
        <is>
          <t>y</t>
        </is>
      </c>
      <c r="I5" s="26">
        <f>DATE(YEAR(Setup!$C$4),MONTH(Setup!$C$4),DAY(Setup!$C$4)+((D5-1)*7)+(E5-WEEKDAY(DATE(YEAR(Setup!$C$4),MONTH(Setup!$C$4),DAY(Setup!$C$4)),1)))</f>
        <v/>
      </c>
      <c r="J5" s="26">
        <f>I5+3</f>
        <v/>
      </c>
      <c r="K5" s="26">
        <f>(I5 + (7 - WEEKDAY(I5,1))) + 1</f>
        <v/>
      </c>
      <c r="L5" s="23">
        <f>F5*G5</f>
        <v/>
      </c>
      <c r="M5" s="1" t="inlineStr">
        <is>
          <t>Response to 60-second W01 Assignment: Initial Site Creation. Student feels overwhelmed.</t>
        </is>
      </c>
      <c r="N5" s="1" t="inlineStr">
        <is>
          <t>Student responded feeling overwhelmed in W01 60-second Status Update. Reach out to student to see how you can help.</t>
        </is>
      </c>
    </row>
    <row r="6">
      <c r="A6" s="1" t="inlineStr">
        <is>
          <t>CSE340</t>
        </is>
      </c>
      <c r="B6" s="1" t="inlineStr">
        <is>
          <t>Grader-Issued 0</t>
        </is>
      </c>
      <c r="C6" s="45" t="inlineStr">
        <is>
          <t>W01 Assignment: Initial Site Creation</t>
        </is>
      </c>
      <c r="D6" s="23" t="n">
        <v>2</v>
      </c>
      <c r="E6" s="23" t="n">
        <v>4</v>
      </c>
      <c r="F6" s="23" t="n">
        <v>100</v>
      </c>
      <c r="G6" s="24" t="n"/>
      <c r="H6" s="24" t="inlineStr">
        <is>
          <t>y</t>
        </is>
      </c>
      <c r="I6" s="26">
        <f>DATE(YEAR(Setup!$C$4),MONTH(Setup!$C$4),DAY(Setup!$C$4)+((D6-1)*7)+(E6-WEEKDAY(DATE(YEAR(Setup!$C$4),MONTH(Setup!$C$4),DAY(Setup!$C$4)),1)))</f>
        <v/>
      </c>
      <c r="J6" s="26">
        <f>I6+3</f>
        <v/>
      </c>
      <c r="K6" s="26">
        <f>(I6 + (7 - WEEKDAY(I6,1))) + 1</f>
        <v/>
      </c>
      <c r="L6" s="23">
        <f>F6*G6</f>
        <v/>
      </c>
      <c r="M6" s="1" t="inlineStr">
        <is>
          <t>The student was given a Grader issued 0 on W01 Assignment: Initial Site Creation</t>
        </is>
      </c>
      <c r="N6" s="44" t="inlineStr">
        <is>
          <t>Grader issued 0 for W01 Assignment: Initial Site Creation. Log into Canvas and see the grader comments. Work with the student to help resubmit.</t>
        </is>
      </c>
    </row>
    <row r="7">
      <c r="A7" s="1" t="inlineStr">
        <is>
          <t>CSE340</t>
        </is>
      </c>
      <c r="B7" s="1" t="inlineStr">
        <is>
          <t>High Performance</t>
        </is>
      </c>
      <c r="C7" s="45" t="inlineStr">
        <is>
          <t>W01 Assignment: Initial Site Creation</t>
        </is>
      </c>
      <c r="D7" s="23" t="n">
        <v>2</v>
      </c>
      <c r="E7" s="23" t="n">
        <v>5</v>
      </c>
      <c r="F7" s="23" t="n">
        <v>100</v>
      </c>
      <c r="G7" s="24" t="n">
        <v>0.9</v>
      </c>
      <c r="H7" s="24" t="inlineStr">
        <is>
          <t>y</t>
        </is>
      </c>
      <c r="I7" s="26">
        <f>DATE(YEAR(Setup!$C$4),MONTH(Setup!$C$4),DAY(Setup!$C$4)+((D7-1)*7)+(E7-WEEKDAY(DATE(YEAR(Setup!$C$4),MONTH(Setup!$C$4),DAY(Setup!$C$4)),1)))</f>
        <v/>
      </c>
      <c r="J7" s="26">
        <f>I7+3</f>
        <v/>
      </c>
      <c r="K7" s="26">
        <f>(I7 + (7 - WEEKDAY(I7,1))) + 1</f>
        <v/>
      </c>
      <c r="L7" s="23">
        <f>F7*G7</f>
        <v/>
      </c>
      <c r="M7" s="1" t="inlineStr">
        <is>
          <t>High Performance: W01 Assignment: Initial Site Creation</t>
        </is>
      </c>
      <c r="N7" s="1" t="inlineStr">
        <is>
          <t>Provide Positive Feedback on W01 Assignment: Initial Site Creation</t>
        </is>
      </c>
    </row>
    <row r="8">
      <c r="A8" s="1" t="inlineStr">
        <is>
          <t>CSE340</t>
        </is>
      </c>
      <c r="B8" s="1" t="inlineStr">
        <is>
          <t>Low Performance</t>
        </is>
      </c>
      <c r="C8" s="45" t="inlineStr">
        <is>
          <t>W01 Assignment: Initial Site Creation</t>
        </is>
      </c>
      <c r="D8" s="23" t="n">
        <v>2</v>
      </c>
      <c r="E8" s="23" t="n">
        <v>5</v>
      </c>
      <c r="F8" s="23" t="n">
        <v>100</v>
      </c>
      <c r="G8" s="24" t="n">
        <v>0.7</v>
      </c>
      <c r="H8" s="24" t="inlineStr">
        <is>
          <t>y</t>
        </is>
      </c>
      <c r="I8" s="26">
        <f>DATE(YEAR(Setup!$C$4),MONTH(Setup!$C$4),DAY(Setup!$C$4)+((D8-1)*7)+(E8-WEEKDAY(DATE(YEAR(Setup!$C$4),MONTH(Setup!$C$4),DAY(Setup!$C$4)),1)))</f>
        <v/>
      </c>
      <c r="J8" s="26">
        <f>I8+3</f>
        <v/>
      </c>
      <c r="K8" s="26">
        <f>(I8 + (7 - WEEKDAY(I8,1))) + 1</f>
        <v/>
      </c>
      <c r="L8" s="23">
        <f>F8*G8</f>
        <v/>
      </c>
      <c r="M8" s="1" t="inlineStr">
        <is>
          <t>Low Performance: W01 Assignment: Initial Site Creation</t>
        </is>
      </c>
      <c r="N8" s="1" t="inlineStr">
        <is>
          <t xml:space="preserve">At Risk. Student scored below 70% on W01 Assignment: Initial Site Creation. Check in to see how you can help. </t>
        </is>
      </c>
    </row>
    <row r="9">
      <c r="A9" s="1" t="inlineStr">
        <is>
          <t>CSE340</t>
        </is>
      </c>
      <c r="B9" s="1" t="inlineStr">
        <is>
          <t>Missing Assignment</t>
        </is>
      </c>
      <c r="C9" s="45" t="inlineStr">
        <is>
          <t xml:space="preserve">
W02 Assignment: Database Retrieval</t>
        </is>
      </c>
      <c r="D9" s="23" t="n">
        <v>3</v>
      </c>
      <c r="E9" s="23" t="n">
        <v>2</v>
      </c>
      <c r="G9" s="24" t="n"/>
      <c r="H9" s="24" t="inlineStr">
        <is>
          <t>y</t>
        </is>
      </c>
      <c r="I9" s="26">
        <f>DATE(YEAR(Setup!$C$4),MONTH(Setup!$C$4),DAY(Setup!$C$4)+((D9-1)*7)+(E9-WEEKDAY(DATE(YEAR(Setup!$C$4),MONTH(Setup!$C$4),DAY(Setup!$C$4)),1)))</f>
        <v/>
      </c>
      <c r="J9" s="26">
        <f>I9+3</f>
        <v/>
      </c>
      <c r="K9" s="26">
        <f>(I9 + (7 - WEEKDAY(I9,1))) + 1</f>
        <v/>
      </c>
      <c r="L9" s="23">
        <f>F9*G9</f>
        <v/>
      </c>
      <c r="M9" s="1" t="inlineStr">
        <is>
          <t>Missing Assignment: W02 Assignment: Database Retrieval</t>
        </is>
      </c>
      <c r="N9" s="1" t="inlineStr">
        <is>
          <t>Check in with student missing W02 Assignment: Database Retrieval</t>
        </is>
      </c>
    </row>
    <row r="10">
      <c r="A10" s="1" t="inlineStr">
        <is>
          <t>CSE340</t>
        </is>
      </c>
      <c r="B10" s="1" t="inlineStr">
        <is>
          <t>Quiz Question</t>
        </is>
      </c>
      <c r="C10" s="1" t="inlineStr">
        <is>
          <t>W02 60-second Status Update: NeedHelp Answer: Yes</t>
        </is>
      </c>
      <c r="D10" s="23" t="n">
        <v>3</v>
      </c>
      <c r="E10" s="23" t="n">
        <v>2</v>
      </c>
      <c r="G10" s="24" t="n"/>
      <c r="H10" s="24" t="inlineStr">
        <is>
          <t>y</t>
        </is>
      </c>
      <c r="I10" s="26">
        <f>DATE(YEAR(Setup!$C$4),MONTH(Setup!$C$4),DAY(Setup!$C$4)+((D10-1)*7)+(E10-WEEKDAY(DATE(YEAR(Setup!$C$4),MONTH(Setup!$C$4),DAY(Setup!$C$4)),1)))</f>
        <v/>
      </c>
      <c r="J10" s="26">
        <f>I10+3</f>
        <v/>
      </c>
      <c r="K10" s="26">
        <f>(I10 + (7 - WEEKDAY(I10,1))) + 1</f>
        <v/>
      </c>
      <c r="L10" s="23">
        <f>F10*G10</f>
        <v/>
      </c>
      <c r="M10" s="1" t="inlineStr">
        <is>
          <t>Response to 60-second W02 Status Update. Student feels overwhelmed.</t>
        </is>
      </c>
      <c r="N10" s="1" t="inlineStr">
        <is>
          <t>Student responded feeling overwhelmed in W02 60-second Status Update. Reach out to student to see how you can help.</t>
        </is>
      </c>
    </row>
    <row r="11">
      <c r="A11" s="1" t="inlineStr">
        <is>
          <t>CSE340</t>
        </is>
      </c>
      <c r="B11" s="1" t="inlineStr">
        <is>
          <t>Grader-Issued 0</t>
        </is>
      </c>
      <c r="C11" s="45" t="inlineStr">
        <is>
          <t xml:space="preserve">
W02 Assignment: Database Retrieval</t>
        </is>
      </c>
      <c r="D11" s="23" t="n">
        <v>3</v>
      </c>
      <c r="E11" s="23" t="n">
        <v>4</v>
      </c>
      <c r="F11" s="23" t="n">
        <v>100</v>
      </c>
      <c r="G11" s="24" t="n"/>
      <c r="H11" s="24" t="inlineStr">
        <is>
          <t>y</t>
        </is>
      </c>
      <c r="I11" s="26">
        <f>DATE(YEAR(Setup!$C$4),MONTH(Setup!$C$4),DAY(Setup!$C$4)+((D11-1)*7)+(E11-WEEKDAY(DATE(YEAR(Setup!$C$4),MONTH(Setup!$C$4),DAY(Setup!$C$4)),1)))</f>
        <v/>
      </c>
      <c r="J11" s="26">
        <f>I11+3</f>
        <v/>
      </c>
      <c r="K11" s="26">
        <f>(I11 + (7 - WEEKDAY(I11,1))) + 1</f>
        <v/>
      </c>
      <c r="L11" s="23">
        <f>F11*G11</f>
        <v/>
      </c>
      <c r="M11" s="1" t="inlineStr">
        <is>
          <t>The student was given a Grader issued 0 on W02 Assignment: Database Retrieval</t>
        </is>
      </c>
      <c r="N11" s="44" t="inlineStr">
        <is>
          <t>Grader issued 0 for W02 Assignment: Database Retrieval. Log into Canvas and see the grader comments. Work with the student to help resubmit.</t>
        </is>
      </c>
    </row>
    <row r="12">
      <c r="A12" s="1" t="inlineStr">
        <is>
          <t>CSE340</t>
        </is>
      </c>
      <c r="B12" s="1" t="inlineStr">
        <is>
          <t>High Performance</t>
        </is>
      </c>
      <c r="C12" s="45" t="inlineStr">
        <is>
          <t>W02 Assignment: Database Retrieval</t>
        </is>
      </c>
      <c r="D12" s="23" t="n">
        <v>3</v>
      </c>
      <c r="E12" s="23" t="n">
        <v>5</v>
      </c>
      <c r="F12" s="23" t="n">
        <v>100</v>
      </c>
      <c r="G12" s="24" t="n">
        <v>0.9</v>
      </c>
      <c r="H12" s="24" t="inlineStr">
        <is>
          <t>y</t>
        </is>
      </c>
      <c r="I12" s="26">
        <f>DATE(YEAR(Setup!$C$4),MONTH(Setup!$C$4),DAY(Setup!$C$4)+((D12-1)*7)+(E12-WEEKDAY(DATE(YEAR(Setup!$C$4),MONTH(Setup!$C$4),DAY(Setup!$C$4)),1)))</f>
        <v/>
      </c>
      <c r="J12" s="26">
        <f>I12+3</f>
        <v/>
      </c>
      <c r="K12" s="26">
        <f>(I12 + (7 - WEEKDAY(I12,1))) + 1</f>
        <v/>
      </c>
      <c r="L12" s="23">
        <f>F12*G12</f>
        <v/>
      </c>
      <c r="M12" s="1" t="inlineStr">
        <is>
          <t>High Performance: W02 Assignment: Database Retrieval</t>
        </is>
      </c>
      <c r="N12" s="1" t="inlineStr">
        <is>
          <t>Provide Positive Feedback on W02 Assignment: Database Retrieval</t>
        </is>
      </c>
    </row>
    <row r="13">
      <c r="A13" s="1" t="inlineStr">
        <is>
          <t>CSE340</t>
        </is>
      </c>
      <c r="B13" s="1" t="inlineStr">
        <is>
          <t>Low Performance</t>
        </is>
      </c>
      <c r="C13" s="45" t="inlineStr">
        <is>
          <t xml:space="preserve">
W02 Assignment: Database Retrieval</t>
        </is>
      </c>
      <c r="D13" s="23" t="n">
        <v>3</v>
      </c>
      <c r="E13" s="23" t="n">
        <v>5</v>
      </c>
      <c r="F13" s="23" t="n">
        <v>100</v>
      </c>
      <c r="G13" s="24" t="n">
        <v>0.7</v>
      </c>
      <c r="H13" s="24" t="inlineStr">
        <is>
          <t>y</t>
        </is>
      </c>
      <c r="I13" s="26">
        <f>DATE(YEAR(Setup!$C$4),MONTH(Setup!$C$4),DAY(Setup!$C$4)+((D13-1)*7)+(E13-WEEKDAY(DATE(YEAR(Setup!$C$4),MONTH(Setup!$C$4),DAY(Setup!$C$4)),1)))</f>
        <v/>
      </c>
      <c r="J13" s="26">
        <f>I13+3</f>
        <v/>
      </c>
      <c r="K13" s="26">
        <f>(I13 + (7 - WEEKDAY(I13,1))) + 1</f>
        <v/>
      </c>
      <c r="L13" s="23">
        <f>F13*G13</f>
        <v/>
      </c>
      <c r="M13" s="1" t="inlineStr">
        <is>
          <t>Low Performance: W02 Assignment: Database Retrieval</t>
        </is>
      </c>
      <c r="N13" s="1" t="inlineStr">
        <is>
          <t xml:space="preserve">At Risk. Student scored below 70% on W02 Assignment: Database Retrieval. Check in to see how you can help. </t>
        </is>
      </c>
    </row>
    <row r="14">
      <c r="A14" s="1" t="inlineStr">
        <is>
          <t>CSE340</t>
        </is>
      </c>
      <c r="B14" s="1" t="inlineStr">
        <is>
          <t>Missing Assignment</t>
        </is>
      </c>
      <c r="C14" s="1" t="inlineStr">
        <is>
          <t>W03 Assignment: Model-View-Controller Implementation</t>
        </is>
      </c>
      <c r="D14" s="23" t="n">
        <v>4</v>
      </c>
      <c r="E14" s="23" t="n">
        <v>2</v>
      </c>
      <c r="F14" s="23" t="n">
        <v>100</v>
      </c>
      <c r="G14" s="24" t="n"/>
      <c r="H14" s="24" t="inlineStr">
        <is>
          <t>y</t>
        </is>
      </c>
      <c r="I14" s="26">
        <f>DATE(YEAR(Setup!$C$4),MONTH(Setup!$C$4),DAY(Setup!$C$4)+((D14-1)*7)+(E14-WEEKDAY(DATE(YEAR(Setup!$C$4),MONTH(Setup!$C$4),DAY(Setup!$C$4)),1)))</f>
        <v/>
      </c>
      <c r="J14" s="26">
        <f>I14+3</f>
        <v/>
      </c>
      <c r="K14" s="26">
        <f>(I14 + (7 - WEEKDAY(I14,1))) + 1</f>
        <v/>
      </c>
      <c r="L14" s="23">
        <f>F14*G14</f>
        <v/>
      </c>
      <c r="M14" s="1" t="inlineStr">
        <is>
          <t>Missing Assignment: W03 Assignment: Model-View-Controller Implementation</t>
        </is>
      </c>
      <c r="N14" s="1" t="inlineStr">
        <is>
          <t>Check in with student missing W03 Assignment: Model-View-Controller Implementation</t>
        </is>
      </c>
    </row>
    <row r="15">
      <c r="A15" s="1" t="inlineStr">
        <is>
          <t>CSE340</t>
        </is>
      </c>
      <c r="B15" s="1" t="inlineStr">
        <is>
          <t>Quiz Question</t>
        </is>
      </c>
      <c r="C15" s="1" t="inlineStr">
        <is>
          <t>W03 60-second Status Update: NeedHelp Answer: Yes</t>
        </is>
      </c>
      <c r="D15" s="23" t="n">
        <v>4</v>
      </c>
      <c r="E15" s="23" t="n">
        <v>2</v>
      </c>
      <c r="G15" s="24" t="n"/>
      <c r="H15" s="24" t="inlineStr">
        <is>
          <t>y</t>
        </is>
      </c>
      <c r="I15" s="26">
        <f>DATE(YEAR(Setup!$C$4),MONTH(Setup!$C$4),DAY(Setup!$C$4)+((D15-1)*7)+(E15-WEEKDAY(DATE(YEAR(Setup!$C$4),MONTH(Setup!$C$4),DAY(Setup!$C$4)),1)))</f>
        <v/>
      </c>
      <c r="J15" s="26">
        <f>I15+3</f>
        <v/>
      </c>
      <c r="K15" s="26">
        <f>(I15 + (7 - WEEKDAY(I15,1))) + 1</f>
        <v/>
      </c>
      <c r="L15" s="23">
        <f>F15*G15</f>
        <v/>
      </c>
      <c r="M15" s="1" t="inlineStr">
        <is>
          <t>Response to 60-second W03 Status Update. Student feels overwhelmed.</t>
        </is>
      </c>
      <c r="N15" s="1" t="inlineStr">
        <is>
          <t>Student responded feeling overwhelmed in W03 60-second Status Update. Reach out to student to see how you can help.</t>
        </is>
      </c>
    </row>
    <row r="16">
      <c r="A16" s="1" t="inlineStr">
        <is>
          <t>CSE340</t>
        </is>
      </c>
      <c r="B16" s="1" t="inlineStr">
        <is>
          <t>Grader-Issued 0</t>
        </is>
      </c>
      <c r="C16" s="1" t="inlineStr">
        <is>
          <t>W03 Assignment: Model-View-Controller Implementation</t>
        </is>
      </c>
      <c r="D16" s="23" t="n">
        <v>4</v>
      </c>
      <c r="E16" s="23" t="n">
        <v>4</v>
      </c>
      <c r="F16" s="23" t="n">
        <v>100</v>
      </c>
      <c r="G16" s="24" t="n"/>
      <c r="H16" s="24" t="inlineStr">
        <is>
          <t>y</t>
        </is>
      </c>
      <c r="I16" s="26">
        <f>DATE(YEAR(Setup!$C$4),MONTH(Setup!$C$4),DAY(Setup!$C$4)+((D16-1)*7)+(E16-WEEKDAY(DATE(YEAR(Setup!$C$4),MONTH(Setup!$C$4),DAY(Setup!$C$4)),1)))</f>
        <v/>
      </c>
      <c r="J16" s="26">
        <f>I16+3</f>
        <v/>
      </c>
      <c r="K16" s="26">
        <f>(I16 + (7 - WEEKDAY(I16,1))) + 1</f>
        <v/>
      </c>
      <c r="L16" s="23">
        <f>F16*G16</f>
        <v/>
      </c>
      <c r="M16" s="1" t="inlineStr">
        <is>
          <t>The student was given a Grader issued 0 on W03 Assignment: Model-View-Controller Implementation</t>
        </is>
      </c>
      <c r="N16" s="44" t="inlineStr">
        <is>
          <t>Grader issued 0 for W03 Assignment: Model-View-Controller Implementation. Log into Canvas and see the grader comments. Work with the student to help resubmit.</t>
        </is>
      </c>
    </row>
    <row r="17">
      <c r="A17" s="1" t="inlineStr">
        <is>
          <t>CSE340</t>
        </is>
      </c>
      <c r="B17" s="1" t="inlineStr">
        <is>
          <t>Scheduled - Low Current Grade</t>
        </is>
      </c>
      <c r="C17" s="1" t="inlineStr">
        <is>
          <t>Withdraw Deadline Reminder</t>
        </is>
      </c>
      <c r="D17" s="23" t="n">
        <v>4</v>
      </c>
      <c r="E17" s="23" t="n">
        <v>4</v>
      </c>
      <c r="G17" s="24" t="n">
        <v>0.5</v>
      </c>
      <c r="H17" s="24" t="inlineStr">
        <is>
          <t>y</t>
        </is>
      </c>
      <c r="I17" s="26">
        <f>DATE(YEAR(Setup!$C$4),MONTH(Setup!$C$4),DAY(Setup!$C$4)+((D17-1)*7)+(E17-WEEKDAY(DATE(YEAR(Setup!$C$4),MONTH(Setup!$C$4),DAY(Setup!$C$4)),1)))</f>
        <v/>
      </c>
      <c r="J17" s="26">
        <f>I17+3</f>
        <v/>
      </c>
      <c r="K17" s="26">
        <f>(I17 + (7 - WEEKDAY(I17,1))) + 1</f>
        <v/>
      </c>
      <c r="L17" s="23">
        <f>F17*G17</f>
        <v/>
      </c>
      <c r="M17" s="1" t="inlineStr">
        <is>
          <t>Failing student. Withdraw Reminder</t>
        </is>
      </c>
      <c r="N17" s="1" t="inlineStr">
        <is>
          <t>Email students who are currently failing with little chance to catch up, reminding them of the withdraw deadline.</t>
        </is>
      </c>
    </row>
    <row r="18">
      <c r="A18" s="1" t="inlineStr">
        <is>
          <t>CSE340</t>
        </is>
      </c>
      <c r="B18" s="1" t="inlineStr">
        <is>
          <t>High Performance</t>
        </is>
      </c>
      <c r="C18" s="1" t="inlineStr">
        <is>
          <t>W03 Assignment: Model-View-Controller Implementation</t>
        </is>
      </c>
      <c r="D18" s="23" t="n">
        <v>4</v>
      </c>
      <c r="E18" s="23" t="n">
        <v>5</v>
      </c>
      <c r="F18" s="23" t="n">
        <v>100</v>
      </c>
      <c r="G18" s="24" t="n">
        <v>0.9</v>
      </c>
      <c r="H18" s="24" t="inlineStr">
        <is>
          <t>y</t>
        </is>
      </c>
      <c r="I18" s="26">
        <f>DATE(YEAR(Setup!$C$4),MONTH(Setup!$C$4),DAY(Setup!$C$4)+((D18-1)*7)+(E18-WEEKDAY(DATE(YEAR(Setup!$C$4),MONTH(Setup!$C$4),DAY(Setup!$C$4)),1)))</f>
        <v/>
      </c>
      <c r="J18" s="26">
        <f>I18+3</f>
        <v/>
      </c>
      <c r="K18" s="26">
        <f>(I18 + (7 - WEEKDAY(I18,1))) + 1</f>
        <v/>
      </c>
      <c r="L18" s="23">
        <f>F18*G18</f>
        <v/>
      </c>
      <c r="M18" s="1" t="inlineStr">
        <is>
          <t>High Performance: W03 Assignment: Model-View-Controller Implementation</t>
        </is>
      </c>
      <c r="N18" s="1" t="inlineStr">
        <is>
          <t>Provide Positive Feedback on W03 Assignment: Model-View-Controller Implementation</t>
        </is>
      </c>
    </row>
    <row r="19">
      <c r="A19" s="1" t="inlineStr">
        <is>
          <t>CSE340</t>
        </is>
      </c>
      <c r="B19" s="1" t="inlineStr">
        <is>
          <t>Low Performance</t>
        </is>
      </c>
      <c r="C19" s="1" t="inlineStr">
        <is>
          <t>W03 Assignment: Model-View-Controller Implementation</t>
        </is>
      </c>
      <c r="D19" s="23" t="n">
        <v>4</v>
      </c>
      <c r="E19" s="23" t="n">
        <v>5</v>
      </c>
      <c r="F19" s="23" t="n">
        <v>100</v>
      </c>
      <c r="G19" s="24" t="n">
        <v>0.7</v>
      </c>
      <c r="H19" s="24" t="inlineStr">
        <is>
          <t>y</t>
        </is>
      </c>
      <c r="I19" s="26">
        <f>DATE(YEAR(Setup!$C$4),MONTH(Setup!$C$4),DAY(Setup!$C$4)+((D19-1)*7)+(E19-WEEKDAY(DATE(YEAR(Setup!$C$4),MONTH(Setup!$C$4),DAY(Setup!$C$4)),1)))</f>
        <v/>
      </c>
      <c r="J19" s="26">
        <f>I19+3</f>
        <v/>
      </c>
      <c r="K19" s="26">
        <f>(I19 + (7 - WEEKDAY(I19,1))) + 1</f>
        <v/>
      </c>
      <c r="L19" s="23">
        <f>F19*G19</f>
        <v/>
      </c>
      <c r="M19" s="1" t="inlineStr">
        <is>
          <t>Low Performance: W03 Assignment: Model-View-Controller Implementation</t>
        </is>
      </c>
      <c r="N19" s="1" t="inlineStr">
        <is>
          <t xml:space="preserve">At Risk. Student scored below 70% on W03 Assignment: Model-View-Controller Implementation. Check in to see how you can help. </t>
        </is>
      </c>
    </row>
    <row r="20">
      <c r="A20" s="1" t="inlineStr">
        <is>
          <t>CSE340</t>
        </is>
      </c>
      <c r="B20" s="1" t="inlineStr">
        <is>
          <t>Missing Assignment</t>
        </is>
      </c>
      <c r="C20" s="1" t="inlineStr">
        <is>
          <t xml:space="preserve">
W04 Assignment: Inserting and Updating Data</t>
        </is>
      </c>
      <c r="D20" s="23" t="n">
        <v>5</v>
      </c>
      <c r="E20" s="23" t="n">
        <v>2</v>
      </c>
      <c r="G20" s="24" t="n"/>
      <c r="H20" s="24" t="inlineStr">
        <is>
          <t>y</t>
        </is>
      </c>
      <c r="I20" s="26">
        <f>DATE(YEAR(Setup!$C$4),MONTH(Setup!$C$4),DAY(Setup!$C$4)+((D20-1)*7)+(E20-WEEKDAY(DATE(YEAR(Setup!$C$4),MONTH(Setup!$C$4),DAY(Setup!$C$4)),1)))</f>
        <v/>
      </c>
      <c r="J20" s="26">
        <f>I20+3</f>
        <v/>
      </c>
      <c r="K20" s="26">
        <f>(I20 + (7 - WEEKDAY(I20,1))) + 1</f>
        <v/>
      </c>
      <c r="L20" s="23">
        <f>F20*G20</f>
        <v/>
      </c>
      <c r="M20" s="1" t="inlineStr">
        <is>
          <t>Missing Assignment: W04 Assignment: Inserting and Updating Data</t>
        </is>
      </c>
      <c r="N20" s="1" t="inlineStr">
        <is>
          <t>Check in with student missing W04 Assignment: Inserting and Updating Data</t>
        </is>
      </c>
    </row>
    <row r="21">
      <c r="A21" s="1" t="inlineStr">
        <is>
          <t>CSE340</t>
        </is>
      </c>
      <c r="B21" s="1" t="inlineStr">
        <is>
          <t>Quiz Question</t>
        </is>
      </c>
      <c r="C21" s="1" t="inlineStr">
        <is>
          <t>W04 60-second Status Update: NeedHelp Answer: Yes</t>
        </is>
      </c>
      <c r="D21" s="23" t="n">
        <v>5</v>
      </c>
      <c r="E21" s="23" t="n">
        <v>2</v>
      </c>
      <c r="G21" s="24" t="n"/>
      <c r="H21" s="24" t="inlineStr">
        <is>
          <t>y</t>
        </is>
      </c>
      <c r="I21" s="26">
        <f>DATE(YEAR(Setup!$C$4),MONTH(Setup!$C$4),DAY(Setup!$C$4)+((D21-1)*7)+(E21-WEEKDAY(DATE(YEAR(Setup!$C$4),MONTH(Setup!$C$4),DAY(Setup!$C$4)),1)))</f>
        <v/>
      </c>
      <c r="J21" s="26">
        <f>I21+3</f>
        <v/>
      </c>
      <c r="K21" s="26">
        <f>(I21 + (7 - WEEKDAY(I21,1))) + 1</f>
        <v/>
      </c>
      <c r="L21" s="23">
        <f>F21*G21</f>
        <v/>
      </c>
      <c r="M21" s="1" t="inlineStr">
        <is>
          <t>Response to 60-second W04 Status Update. Student feels overwhelmed.</t>
        </is>
      </c>
      <c r="N21" s="1" t="inlineStr">
        <is>
          <t>Student responded feeling overwhelmed in W04 60-second Status Update. Reach out to student to see how you can help.</t>
        </is>
      </c>
    </row>
    <row r="22">
      <c r="A22" s="1" t="inlineStr">
        <is>
          <t>CSE340</t>
        </is>
      </c>
      <c r="B22" s="1" t="inlineStr">
        <is>
          <t>Grader-Issued 0</t>
        </is>
      </c>
      <c r="C22" s="1" t="inlineStr">
        <is>
          <t xml:space="preserve">
W04 Assignment: Inserting and Updating Data</t>
        </is>
      </c>
      <c r="D22" s="23" t="n">
        <v>5</v>
      </c>
      <c r="E22" s="23" t="n">
        <v>4</v>
      </c>
      <c r="F22" s="23" t="n">
        <v>100</v>
      </c>
      <c r="G22" s="24" t="n"/>
      <c r="H22" s="24" t="inlineStr">
        <is>
          <t>y</t>
        </is>
      </c>
      <c r="I22" s="26">
        <f>DATE(YEAR(Setup!$C$4),MONTH(Setup!$C$4),DAY(Setup!$C$4)+((D22-1)*7)+(E22-WEEKDAY(DATE(YEAR(Setup!$C$4),MONTH(Setup!$C$4),DAY(Setup!$C$4)),1)))</f>
        <v/>
      </c>
      <c r="J22" s="26">
        <f>I22+3</f>
        <v/>
      </c>
      <c r="K22" s="26">
        <f>(I22 + (7 - WEEKDAY(I22,1))) + 1</f>
        <v/>
      </c>
      <c r="L22" s="23">
        <f>F22*G22</f>
        <v/>
      </c>
      <c r="M22" s="1" t="inlineStr">
        <is>
          <t>The student was given a Grader issued 0 on W04 Assignment: Inserting and Updating Data</t>
        </is>
      </c>
      <c r="N22" s="44" t="inlineStr">
        <is>
          <t>Grader issued 0 for W04 Assignment: Inserting and Updating Data. Log into Canvas and see the grader comments. Work with the student to help resubmit.</t>
        </is>
      </c>
    </row>
    <row r="23">
      <c r="A23" s="1" t="inlineStr">
        <is>
          <t>CSE340</t>
        </is>
      </c>
      <c r="B23" s="1" t="inlineStr">
        <is>
          <t>Scheduled - Classwide</t>
        </is>
      </c>
      <c r="C23" s="1" t="inlineStr">
        <is>
          <t>Registration Reminder 1</t>
        </is>
      </c>
      <c r="D23" s="23" t="n">
        <v>5</v>
      </c>
      <c r="E23" s="23" t="n">
        <v>4</v>
      </c>
      <c r="G23" s="24" t="n"/>
      <c r="H23" s="24" t="inlineStr">
        <is>
          <t>y</t>
        </is>
      </c>
      <c r="I23" s="26">
        <f>DATE(YEAR(Setup!$C$4),MONTH(Setup!$C$4),DAY(Setup!$C$4)+((D23-1)*7)+(E23-WEEKDAY(DATE(YEAR(Setup!$C$4),MONTH(Setup!$C$4),DAY(Setup!$C$4)),1)))</f>
        <v/>
      </c>
      <c r="J23" s="26">
        <f>I23+3</f>
        <v/>
      </c>
      <c r="K23" s="26">
        <f>(I23 + (7 - WEEKDAY(I23,1))) + 1</f>
        <v/>
      </c>
      <c r="L23" s="23">
        <f>F23*G23</f>
        <v/>
      </c>
      <c r="M23" s="1" t="inlineStr">
        <is>
          <t>Registration Reminder 1</t>
        </is>
      </c>
      <c r="N23" s="43" t="inlineStr">
        <is>
          <t>Send a message to all students, reminding them that registration for the next block is now open and encouraging them to go and take action.</t>
        </is>
      </c>
    </row>
    <row r="24">
      <c r="A24" s="1" t="inlineStr">
        <is>
          <t>CSE340</t>
        </is>
      </c>
      <c r="B24" s="1" t="inlineStr">
        <is>
          <t>High Performance</t>
        </is>
      </c>
      <c r="C24" s="1" t="inlineStr">
        <is>
          <t>W04 Assignment: Inserting and Updating Data</t>
        </is>
      </c>
      <c r="D24" s="23" t="n">
        <v>5</v>
      </c>
      <c r="E24" s="23" t="n">
        <v>5</v>
      </c>
      <c r="F24" s="23" t="n">
        <v>100</v>
      </c>
      <c r="G24" s="24" t="n">
        <v>0.9</v>
      </c>
      <c r="H24" s="24" t="inlineStr">
        <is>
          <t>y</t>
        </is>
      </c>
      <c r="I24" s="26">
        <f>DATE(YEAR(Setup!$C$4),MONTH(Setup!$C$4),DAY(Setup!$C$4)+((D24-1)*7)+(E24-WEEKDAY(DATE(YEAR(Setup!$C$4),MONTH(Setup!$C$4),DAY(Setup!$C$4)),1)))</f>
        <v/>
      </c>
      <c r="J24" s="26">
        <f>I24+3</f>
        <v/>
      </c>
      <c r="K24" s="26">
        <f>(I24 + (7 - WEEKDAY(I24,1))) + 1</f>
        <v/>
      </c>
      <c r="L24" s="23">
        <f>F24*G24</f>
        <v/>
      </c>
      <c r="M24" s="1" t="inlineStr">
        <is>
          <t>High Performance: W04 Assignment: Inserting and Updating Data</t>
        </is>
      </c>
      <c r="N24" s="1" t="inlineStr">
        <is>
          <t>Provide Positive Feedback on W04 Assignment: Inserting and Updating Data</t>
        </is>
      </c>
    </row>
    <row r="25">
      <c r="A25" s="1" t="inlineStr">
        <is>
          <t>CSE340</t>
        </is>
      </c>
      <c r="B25" s="1" t="inlineStr">
        <is>
          <t>Low Performance</t>
        </is>
      </c>
      <c r="C25" s="1" t="inlineStr">
        <is>
          <t xml:space="preserve">
W04 Assignment: Inserting and Updating Data</t>
        </is>
      </c>
      <c r="D25" s="23" t="n">
        <v>5</v>
      </c>
      <c r="E25" s="23" t="n">
        <v>5</v>
      </c>
      <c r="F25" s="23" t="n">
        <v>100</v>
      </c>
      <c r="G25" s="24" t="n">
        <v>0.7</v>
      </c>
      <c r="H25" s="24" t="inlineStr">
        <is>
          <t>y</t>
        </is>
      </c>
      <c r="I25" s="26">
        <f>DATE(YEAR(Setup!$C$4),MONTH(Setup!$C$4),DAY(Setup!$C$4)+((D25-1)*7)+(E25-WEEKDAY(DATE(YEAR(Setup!$C$4),MONTH(Setup!$C$4),DAY(Setup!$C$4)),1)))</f>
        <v/>
      </c>
      <c r="J25" s="26">
        <f>I25+3</f>
        <v/>
      </c>
      <c r="K25" s="26">
        <f>(I25 + (7 - WEEKDAY(I25,1))) + 1</f>
        <v/>
      </c>
      <c r="L25" s="23">
        <f>F25*G25</f>
        <v/>
      </c>
      <c r="M25" s="1" t="inlineStr">
        <is>
          <t>Low Performance: W04 Assignment: Inserting and Updating Data</t>
        </is>
      </c>
      <c r="N25" s="1" t="inlineStr">
        <is>
          <t xml:space="preserve">At Risk. Student scored below 70% on W04 Assignment: Inserting and Updating Data. Check in to see how you can help. </t>
        </is>
      </c>
    </row>
    <row r="26">
      <c r="A26" s="1" t="inlineStr">
        <is>
          <t>CSE340</t>
        </is>
      </c>
      <c r="B26" s="1" t="inlineStr">
        <is>
          <t>Missing Assignment</t>
        </is>
      </c>
      <c r="C26" s="1" t="inlineStr">
        <is>
          <t>W05 Assignment: Authentication and Authorization</t>
        </is>
      </c>
      <c r="D26" s="23" t="n">
        <v>6</v>
      </c>
      <c r="E26" s="23" t="n">
        <v>2</v>
      </c>
      <c r="F26" s="23" t="n">
        <v>100</v>
      </c>
      <c r="G26" s="24" t="n"/>
      <c r="H26" s="24" t="inlineStr">
        <is>
          <t>y</t>
        </is>
      </c>
      <c r="I26" s="26">
        <f>DATE(YEAR(Setup!$C$4),MONTH(Setup!$C$4),DAY(Setup!$C$4)+((D26-1)*7)+(E26-WEEKDAY(DATE(YEAR(Setup!$C$4),MONTH(Setup!$C$4),DAY(Setup!$C$4)),1)))</f>
        <v/>
      </c>
      <c r="J26" s="26">
        <f>I26+3</f>
        <v/>
      </c>
      <c r="K26" s="26">
        <f>(I26 + (7 - WEEKDAY(I26,1))) + 1</f>
        <v/>
      </c>
      <c r="L26" s="23">
        <f>F26*G26</f>
        <v/>
      </c>
      <c r="M26" s="1" t="inlineStr">
        <is>
          <t>Missing Assignment: W05 Assignment: Authentication and Authorization</t>
        </is>
      </c>
      <c r="N26" s="1" t="inlineStr">
        <is>
          <t>Check in with student missing W05 Assignment: Authentication and Authorization</t>
        </is>
      </c>
    </row>
    <row r="27">
      <c r="A27" s="1" t="inlineStr">
        <is>
          <t>CSE340</t>
        </is>
      </c>
      <c r="B27" s="1" t="inlineStr">
        <is>
          <t>Quiz Question</t>
        </is>
      </c>
      <c r="C27" s="1" t="inlineStr">
        <is>
          <t>W05 60-second Status Update: NeedHelp Answer: Yes</t>
        </is>
      </c>
      <c r="D27" s="23" t="n">
        <v>6</v>
      </c>
      <c r="E27" s="23" t="n">
        <v>2</v>
      </c>
      <c r="G27" s="24" t="n"/>
      <c r="H27" s="24" t="inlineStr">
        <is>
          <t>y</t>
        </is>
      </c>
      <c r="I27" s="26">
        <f>DATE(YEAR(Setup!$C$4),MONTH(Setup!$C$4),DAY(Setup!$C$4)+((D27-1)*7)+(E27-WEEKDAY(DATE(YEAR(Setup!$C$4),MONTH(Setup!$C$4),DAY(Setup!$C$4)),1)))</f>
        <v/>
      </c>
      <c r="J27" s="26">
        <f>I27+3</f>
        <v/>
      </c>
      <c r="K27" s="26">
        <f>(I27 + (7 - WEEKDAY(I27,1))) + 1</f>
        <v/>
      </c>
      <c r="L27" s="23">
        <f>F27*G27</f>
        <v/>
      </c>
      <c r="M27" s="1" t="inlineStr">
        <is>
          <t>Response to 60-second W05 Status Update. Student feels overwhelmed.</t>
        </is>
      </c>
      <c r="N27" s="1" t="inlineStr">
        <is>
          <t>Student responded feeling overwhelmed in W05 60-second Status Update. Reach out to student to see how you can help.</t>
        </is>
      </c>
    </row>
    <row r="28">
      <c r="A28" s="1" t="inlineStr">
        <is>
          <t>CSE340</t>
        </is>
      </c>
      <c r="B28" s="1" t="inlineStr">
        <is>
          <t>Grader-Issued 0</t>
        </is>
      </c>
      <c r="C28" s="1" t="inlineStr">
        <is>
          <t>W05 Assignment: Authentication and Authorization</t>
        </is>
      </c>
      <c r="D28" s="23" t="n">
        <v>6</v>
      </c>
      <c r="E28" s="23" t="n">
        <v>4</v>
      </c>
      <c r="F28" s="23" t="n">
        <v>100</v>
      </c>
      <c r="G28" s="24" t="n"/>
      <c r="H28" s="24" t="inlineStr">
        <is>
          <t>y</t>
        </is>
      </c>
      <c r="I28" s="26">
        <f>DATE(YEAR(Setup!$C$4),MONTH(Setup!$C$4),DAY(Setup!$C$4)+((D28-1)*7)+(E28-WEEKDAY(DATE(YEAR(Setup!$C$4),MONTH(Setup!$C$4),DAY(Setup!$C$4)),1)))</f>
        <v/>
      </c>
      <c r="J28" s="26">
        <f>I28+3</f>
        <v/>
      </c>
      <c r="K28" s="26">
        <f>(I28 + (7 - WEEKDAY(I28,1))) + 1</f>
        <v/>
      </c>
      <c r="L28" s="23">
        <f>F28*G28</f>
        <v/>
      </c>
      <c r="M28" s="1" t="inlineStr">
        <is>
          <t>The student was given a Grader issued 0 on W05 Assignment: Authentication and Authorization</t>
        </is>
      </c>
      <c r="N28" s="44" t="inlineStr">
        <is>
          <t>Grader issued 0 for W05 Assignment: Authentication and Authorization. Log into Canvas and see the grader comments. Work with the student to help resubmit.</t>
        </is>
      </c>
    </row>
    <row r="29">
      <c r="A29" s="1" t="inlineStr">
        <is>
          <t>CSE340</t>
        </is>
      </c>
      <c r="B29" s="1" t="inlineStr">
        <is>
          <t>High Performance</t>
        </is>
      </c>
      <c r="C29" s="1" t="inlineStr">
        <is>
          <t>W05 Assignment: Authentication and Authorization</t>
        </is>
      </c>
      <c r="D29" s="23" t="n">
        <v>6</v>
      </c>
      <c r="E29" s="23" t="n">
        <v>5</v>
      </c>
      <c r="F29" s="23" t="n">
        <v>100</v>
      </c>
      <c r="G29" s="24" t="n">
        <v>0.9</v>
      </c>
      <c r="H29" s="24" t="inlineStr">
        <is>
          <t>y</t>
        </is>
      </c>
      <c r="I29" s="26">
        <f>DATE(YEAR(Setup!$C$4),MONTH(Setup!$C$4),DAY(Setup!$C$4)+((D29-1)*7)+(E29-WEEKDAY(DATE(YEAR(Setup!$C$4),MONTH(Setup!$C$4),DAY(Setup!$C$4)),1)))</f>
        <v/>
      </c>
      <c r="J29" s="26">
        <f>I29+3</f>
        <v/>
      </c>
      <c r="K29" s="26">
        <f>(I29 + (7 - WEEKDAY(I29,1))) + 1</f>
        <v/>
      </c>
      <c r="L29" s="23">
        <f>F29*G29</f>
        <v/>
      </c>
      <c r="M29" s="1" t="inlineStr">
        <is>
          <t>High Performance: W05 Assignment: Authentication and Authorization</t>
        </is>
      </c>
      <c r="N29" s="1" t="inlineStr">
        <is>
          <t>Provide Positive Feedback on W05 Assignment: Authentication and Authorization</t>
        </is>
      </c>
    </row>
    <row r="30">
      <c r="A30" s="1" t="inlineStr">
        <is>
          <t>CSE340</t>
        </is>
      </c>
      <c r="B30" s="1" t="inlineStr">
        <is>
          <t>Low Performance</t>
        </is>
      </c>
      <c r="C30" s="1" t="inlineStr">
        <is>
          <t>W05 Assignment: Authentication and Authorization</t>
        </is>
      </c>
      <c r="D30" s="23" t="n">
        <v>6</v>
      </c>
      <c r="E30" s="23" t="n">
        <v>5</v>
      </c>
      <c r="F30" s="23" t="n">
        <v>100</v>
      </c>
      <c r="G30" s="24" t="n">
        <v>0.7</v>
      </c>
      <c r="H30" s="24" t="inlineStr">
        <is>
          <t>y</t>
        </is>
      </c>
      <c r="I30" s="26">
        <f>DATE(YEAR(Setup!$C$4),MONTH(Setup!$C$4),DAY(Setup!$C$4)+((D30-1)*7)+(E30-WEEKDAY(DATE(YEAR(Setup!$C$4),MONTH(Setup!$C$4),DAY(Setup!$C$4)),1)))</f>
        <v/>
      </c>
      <c r="J30" s="26">
        <f>I30+3</f>
        <v/>
      </c>
      <c r="K30" s="26">
        <f>(I30 + (7 - WEEKDAY(I30,1))) + 1</f>
        <v/>
      </c>
      <c r="L30" s="23">
        <f>F30*G30</f>
        <v/>
      </c>
      <c r="M30" s="1" t="inlineStr">
        <is>
          <t>Low Performance: W05 Assignment: Authentication and Authorization</t>
        </is>
      </c>
      <c r="N30" s="1" t="inlineStr">
        <is>
          <t xml:space="preserve">At Risk. Student scored below 70% on W05 Assignment: Authentication and Authorization. Check in to see how you can help. </t>
        </is>
      </c>
    </row>
    <row r="31">
      <c r="A31" s="1" t="inlineStr">
        <is>
          <t>CSE340</t>
        </is>
      </c>
      <c r="B31" s="1" t="inlineStr">
        <is>
          <t>Scheduled - Classwide</t>
        </is>
      </c>
      <c r="C31" s="1" t="inlineStr">
        <is>
          <t>Registration Reminder 2</t>
        </is>
      </c>
      <c r="D31" s="23" t="n">
        <v>7</v>
      </c>
      <c r="E31" s="23" t="n">
        <v>1</v>
      </c>
      <c r="G31" s="24" t="n"/>
      <c r="H31" s="24" t="inlineStr">
        <is>
          <t>y</t>
        </is>
      </c>
      <c r="I31" s="26">
        <f>DATE(YEAR(Setup!$C$4),MONTH(Setup!$C$4),DAY(Setup!$C$4)+((D31-1)*7)+(E31-WEEKDAY(DATE(YEAR(Setup!$C$4),MONTH(Setup!$C$4),DAY(Setup!$C$4)),1)))</f>
        <v/>
      </c>
      <c r="J31" s="26">
        <f>I31+3</f>
        <v/>
      </c>
      <c r="K31" s="26">
        <f>(I31 + (7 - WEEKDAY(I31,1))) + 1</f>
        <v/>
      </c>
      <c r="L31" s="23">
        <f>F31*G31</f>
        <v/>
      </c>
      <c r="M31" s="1" t="inlineStr">
        <is>
          <t>Registration Reminder 2</t>
        </is>
      </c>
      <c r="N31" s="43" t="inlineStr">
        <is>
          <t>Send a message to all students, reminding them that registration for the next block is still open, but will be closing soon. Encourage them to go in and register as soon as possible.</t>
        </is>
      </c>
    </row>
    <row r="32">
      <c r="A32" s="1" t="inlineStr">
        <is>
          <t>CSE340</t>
        </is>
      </c>
      <c r="B32" s="1" t="inlineStr">
        <is>
          <t>Scheduled - Classwide</t>
        </is>
      </c>
      <c r="C32" s="1" t="inlineStr">
        <is>
          <t>End of Block Reminder</t>
        </is>
      </c>
      <c r="D32" s="23" t="n">
        <v>7</v>
      </c>
      <c r="E32" s="23" t="n">
        <v>2</v>
      </c>
      <c r="G32" s="24" t="n"/>
      <c r="H32" s="24" t="inlineStr">
        <is>
          <t>y</t>
        </is>
      </c>
      <c r="I32" s="26">
        <f>DATE(YEAR(Setup!$C$4),MONTH(Setup!$C$4),DAY(Setup!$C$4)+((D32-1)*7)+(E32-WEEKDAY(DATE(YEAR(Setup!$C$4),MONTH(Setup!$C$4),DAY(Setup!$C$4)),1)))</f>
        <v/>
      </c>
      <c r="J32" s="26">
        <f>I32+3</f>
        <v/>
      </c>
      <c r="K32" s="26">
        <f>(I32 + (7 - WEEKDAY(I32,1))) + 1</f>
        <v/>
      </c>
      <c r="L32" s="23">
        <f>F32*G32</f>
        <v/>
      </c>
      <c r="M32" s="1" t="inlineStr">
        <is>
          <t>End of Block Reminder</t>
        </is>
      </c>
      <c r="N32" s="44" t="inlineStr">
        <is>
          <t>Remind Students the course will be closing, submit assignments by deadline, complete End-of-Course Evaluation</t>
        </is>
      </c>
    </row>
  </sheetData>
  <sheetProtection selectLockedCells="1" selectUnlockedCells="0" algorithmName="SHA-512" sheet="1" objects="0" insertRows="0" insertHyperlinks="1" autoFilter="0" scenarios="0" formatColumns="1" deleteColumns="1" insertColumns="1" pivotTables="1" deleteRows="0" formatCells="0" saltValue="WsaePpO66sc7lVSPd6sq3w==" formatRows="0" sort="0" spinCount="100000" hashValue="OC7HxVIJbeNnNc1z6B32y1LUJxJ6y6lekSTCskAFYuKe3Y4EVrE327V/O+Zs1XPsyEtGvMkE7tFeSlajEGtygA=="/>
  <autoFilter ref="A1:N32"/>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3.xml><?xml version="1.0" encoding="utf-8"?>
<worksheet xmlns="http://schemas.openxmlformats.org/spreadsheetml/2006/main">
  <sheetPr codeName="Sheet11">
    <tabColor rgb="FF00B050"/>
    <outlinePr summaryBelow="1" summaryRight="1"/>
    <pageSetUpPr/>
  </sheetPr>
  <dimension ref="A1:N27"/>
  <sheetViews>
    <sheetView workbookViewId="0">
      <pane xSplit="3" topLeftCell="M1" activePane="topRight" state="frozen"/>
      <selection pane="topRight" activeCell="A2" sqref="A2"/>
      <selection activeCell="V2" sqref="V2"/>
    </sheetView>
  </sheetViews>
  <sheetFormatPr baseColWidth="8" defaultColWidth="8.85546875" defaultRowHeight="15"/>
  <cols>
    <col width="13" customWidth="1" style="1" min="1" max="1"/>
    <col width="24.28515625" customWidth="1" style="1" min="2" max="2"/>
    <col width="69.7109375" bestFit="1" customWidth="1" style="1" min="3" max="3"/>
    <col width="14.42578125" customWidth="1" style="1" min="4" max="4"/>
    <col width="14" customWidth="1" style="1" min="5" max="5"/>
    <col width="14" customWidth="1" style="23" min="6" max="6"/>
    <col width="14.14062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85.4257812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4" t="inlineStr">
        <is>
          <t>Week of Outreach</t>
        </is>
      </c>
      <c r="E1" s="4" t="inlineStr">
        <is>
          <t>Day of Outreach</t>
        </is>
      </c>
      <c r="F1" s="4" t="inlineStr">
        <is>
          <t>Points Possible</t>
        </is>
      </c>
      <c r="G1" s="4" t="inlineStr">
        <is>
          <t>% + or - for Outreach</t>
        </is>
      </c>
      <c r="H1" s="4" t="inlineStr">
        <is>
          <t>Configured</t>
        </is>
      </c>
      <c r="I1" s="4" t="inlineStr">
        <is>
          <t xml:space="preserve">Start Date </t>
        </is>
      </c>
      <c r="J1" s="4" t="inlineStr">
        <is>
          <t>Due Date</t>
        </is>
      </c>
      <c r="K1" s="4" t="inlineStr">
        <is>
          <t>Expire Date</t>
        </is>
      </c>
      <c r="L1" s="4" t="inlineStr">
        <is>
          <t>Score</t>
        </is>
      </c>
      <c r="M1" s="28" t="inlineStr">
        <is>
          <t>Reason for Outreach Title (Drop Down in IMS)</t>
        </is>
      </c>
      <c r="N1" s="28" t="inlineStr">
        <is>
          <t>Description/Prompt in IMS</t>
        </is>
      </c>
    </row>
    <row r="2">
      <c r="A2" s="1" t="inlineStr">
        <is>
          <t>CSE341</t>
        </is>
      </c>
      <c r="B2" s="1" t="inlineStr">
        <is>
          <t>New Student Added</t>
        </is>
      </c>
      <c r="C2" s="1" t="inlineStr">
        <is>
          <t>New Student Added</t>
        </is>
      </c>
      <c r="D2" s="23" t="n">
        <v>0</v>
      </c>
      <c r="E2" s="23" t="n">
        <v>2</v>
      </c>
      <c r="G2" s="24" t="n"/>
      <c r="H2" s="24" t="inlineStr">
        <is>
          <t>y</t>
        </is>
      </c>
      <c r="I2" s="26">
        <f>DATE(YEAR(Setup!$C$4),MONTH(Setup!$C$4),DAY(Setup!$C$4)+((D2-1)*7)+(E2-WEEKDAY(DATE(YEAR(Setup!$C$4),MONTH(Setup!$C$4),DAY(Setup!$C$4)),1)))</f>
        <v/>
      </c>
      <c r="J2" s="26">
        <f>I2+3</f>
        <v/>
      </c>
      <c r="K2" s="26">
        <f>(I2 + (7 - WEEKDAY(I2,1))) + 1</f>
        <v/>
      </c>
      <c r="L2" s="23">
        <f>F2*G2</f>
        <v/>
      </c>
      <c r="M2" s="1" t="inlineStr">
        <is>
          <t>Welcome Email</t>
        </is>
      </c>
      <c r="N2" s="37" t="inlineStr">
        <is>
          <t>Send a message to new students to welcome them to class and help them submit any assignments they missed.</t>
        </is>
      </c>
    </row>
    <row r="3">
      <c r="A3" s="1" t="inlineStr">
        <is>
          <t>CSE341</t>
        </is>
      </c>
      <c r="B3" s="1" t="inlineStr">
        <is>
          <t>Scheduled - Not Logged In</t>
        </is>
      </c>
      <c r="C3" s="1" t="inlineStr">
        <is>
          <t>Not Logged In</t>
        </is>
      </c>
      <c r="D3" s="23" t="n">
        <v>1</v>
      </c>
      <c r="E3" s="23" t="n">
        <v>4</v>
      </c>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CSE341</t>
        </is>
      </c>
      <c r="B4" s="1" t="inlineStr">
        <is>
          <t>Missing Assignment</t>
        </is>
      </c>
      <c r="C4" s="45" t="inlineStr">
        <is>
          <t>W01 Project: Contacts Part 1</t>
        </is>
      </c>
      <c r="D4" s="23" t="n">
        <v>2</v>
      </c>
      <c r="E4" s="23" t="n">
        <v>2</v>
      </c>
      <c r="F4" s="23" t="n">
        <v>100</v>
      </c>
      <c r="G4" s="24" t="inlineStr">
        <is>
          <t xml:space="preserve"> </t>
        </is>
      </c>
      <c r="H4" s="24" t="inlineStr">
        <is>
          <t>y</t>
        </is>
      </c>
      <c r="I4" s="26">
        <f>DATE(YEAR(Setup!$C$4),MONTH(Setup!$C$4),DAY(Setup!$C$4)+((D4-1)*7)+(E4-WEEKDAY(DATE(YEAR(Setup!$C$4),MONTH(Setup!$C$4),DAY(Setup!$C$4)),1)))</f>
        <v/>
      </c>
      <c r="J4" s="26">
        <f>I4+3</f>
        <v/>
      </c>
      <c r="K4" s="26">
        <f>(I4 + (7 - WEEKDAY(I4,1))) + 1</f>
        <v/>
      </c>
      <c r="L4" s="23" t="n">
        <v>0</v>
      </c>
      <c r="M4" s="1" t="inlineStr">
        <is>
          <t>Missing Assignment: W01 Project: Contacts Part 1</t>
        </is>
      </c>
      <c r="N4" s="1" t="inlineStr">
        <is>
          <t>Check in with student missing W01 Project: Contacts Part 1</t>
        </is>
      </c>
    </row>
    <row r="5">
      <c r="A5" s="1" t="inlineStr">
        <is>
          <t>CSE341</t>
        </is>
      </c>
      <c r="B5" s="1" t="inlineStr">
        <is>
          <t>Grader-Issued 0</t>
        </is>
      </c>
      <c r="C5" s="45" t="inlineStr">
        <is>
          <t>W01 Project: Contacts Part 1</t>
        </is>
      </c>
      <c r="D5" s="23" t="n">
        <v>2</v>
      </c>
      <c r="E5" s="23" t="n">
        <v>4</v>
      </c>
      <c r="F5" s="23" t="n">
        <v>100</v>
      </c>
      <c r="G5" s="24" t="n"/>
      <c r="H5" s="24" t="inlineStr">
        <is>
          <t>y</t>
        </is>
      </c>
      <c r="I5" s="26">
        <f>DATE(YEAR(Setup!$C$4),MONTH(Setup!$C$4),DAY(Setup!$C$4)+((D5-1)*7)+(E5-WEEKDAY(DATE(YEAR(Setup!$C$4),MONTH(Setup!$C$4),DAY(Setup!$C$4)),1)))</f>
        <v/>
      </c>
      <c r="J5" s="26">
        <f>I5+3</f>
        <v/>
      </c>
      <c r="K5" s="26">
        <f>(I5 + (7 - WEEKDAY(I5,1))) + 1</f>
        <v/>
      </c>
      <c r="L5" s="23">
        <f>F5*G5</f>
        <v/>
      </c>
      <c r="M5" s="1" t="inlineStr">
        <is>
          <t>Grader issued 0 on W01 Project: Contacts Part 1</t>
        </is>
      </c>
      <c r="N5" s="44" t="inlineStr">
        <is>
          <t>Grader issued 0 for W01 Project: Contacts Part 1. Log into Canvas and see the grader comments. Work with the student to help resubmit.</t>
        </is>
      </c>
    </row>
    <row r="6">
      <c r="A6" s="1" t="inlineStr">
        <is>
          <t>CSE341</t>
        </is>
      </c>
      <c r="B6" s="1" t="inlineStr">
        <is>
          <t>High Performance</t>
        </is>
      </c>
      <c r="C6" s="45" t="inlineStr">
        <is>
          <t>W01 Project: Contacts Part 1</t>
        </is>
      </c>
      <c r="D6" s="23" t="n">
        <v>2</v>
      </c>
      <c r="E6" s="23" t="n">
        <v>5</v>
      </c>
      <c r="F6" s="23" t="n">
        <v>100</v>
      </c>
      <c r="G6" s="24" t="n">
        <v>0.9</v>
      </c>
      <c r="H6" s="24" t="inlineStr">
        <is>
          <t>y</t>
        </is>
      </c>
      <c r="I6" s="26">
        <f>DATE(YEAR(Setup!$C$4),MONTH(Setup!$C$4),DAY(Setup!$C$4)+((D6-1)*7)+(E6-WEEKDAY(DATE(YEAR(Setup!$C$4),MONTH(Setup!$C$4),DAY(Setup!$C$4)),1)))</f>
        <v/>
      </c>
      <c r="J6" s="26">
        <f>I6+3</f>
        <v/>
      </c>
      <c r="K6" s="26">
        <f>(I6 + (7 - WEEKDAY(I6,1))) + 1</f>
        <v/>
      </c>
      <c r="L6" s="23">
        <f>F6*G6</f>
        <v/>
      </c>
      <c r="M6" s="1" t="inlineStr">
        <is>
          <t>High Performance: W01 Project: Contacts Part 1</t>
        </is>
      </c>
      <c r="N6" s="1" t="inlineStr">
        <is>
          <t>Provide Positive Feedback on W01 Project: Contacts Part 1</t>
        </is>
      </c>
    </row>
    <row r="7">
      <c r="A7" s="1" t="inlineStr">
        <is>
          <t>CSE341</t>
        </is>
      </c>
      <c r="B7" s="1" t="inlineStr">
        <is>
          <t>Low Performance</t>
        </is>
      </c>
      <c r="C7" s="45" t="inlineStr">
        <is>
          <t>W01 Project: Contacts Part 1</t>
        </is>
      </c>
      <c r="D7" s="23" t="n">
        <v>2</v>
      </c>
      <c r="E7" s="23" t="n">
        <v>5</v>
      </c>
      <c r="F7" s="23" t="n">
        <v>100</v>
      </c>
      <c r="G7" s="24" t="n">
        <v>0.7</v>
      </c>
      <c r="H7" s="24" t="inlineStr">
        <is>
          <t>y</t>
        </is>
      </c>
      <c r="I7" s="26">
        <f>DATE(YEAR(Setup!$C$4),MONTH(Setup!$C$4),DAY(Setup!$C$4)+((D7-1)*7)+(E7-WEEKDAY(DATE(YEAR(Setup!$C$4),MONTH(Setup!$C$4),DAY(Setup!$C$4)),1)))</f>
        <v/>
      </c>
      <c r="J7" s="26">
        <f>I7+3</f>
        <v/>
      </c>
      <c r="K7" s="26">
        <f>(I7 + (7 - WEEKDAY(I7,1))) + 1</f>
        <v/>
      </c>
      <c r="L7" s="23">
        <f>F7*G7</f>
        <v/>
      </c>
      <c r="M7" s="1" t="inlineStr">
        <is>
          <t>Low Performance: W01 Project: Contacts Part 1</t>
        </is>
      </c>
      <c r="N7" s="1" t="inlineStr">
        <is>
          <t xml:space="preserve">At Risk. Student scored below 70% on W01 Project: Contacts Part 1. Check in to see how you can help. </t>
        </is>
      </c>
    </row>
    <row r="8">
      <c r="A8" s="1" t="inlineStr">
        <is>
          <t>CSE341</t>
        </is>
      </c>
      <c r="B8" s="1" t="inlineStr">
        <is>
          <t>Missing Assignment</t>
        </is>
      </c>
      <c r="C8" s="45" t="inlineStr">
        <is>
          <t xml:space="preserve">
W02 Project Contacts Part 2</t>
        </is>
      </c>
      <c r="D8" s="23" t="n">
        <v>3</v>
      </c>
      <c r="E8" s="23" t="n">
        <v>2</v>
      </c>
      <c r="F8" s="23" t="n">
        <v>100</v>
      </c>
      <c r="G8" s="24" t="n"/>
      <c r="H8" s="24" t="inlineStr">
        <is>
          <t>y</t>
        </is>
      </c>
      <c r="I8" s="26">
        <f>DATE(YEAR(Setup!$C$4),MONTH(Setup!$C$4),DAY(Setup!$C$4)+((D8-1)*7)+(E8-WEEKDAY(DATE(YEAR(Setup!$C$4),MONTH(Setup!$C$4),DAY(Setup!$C$4)),1)))</f>
        <v/>
      </c>
      <c r="J8" s="26">
        <f>I8+3</f>
        <v/>
      </c>
      <c r="K8" s="26">
        <f>(I8 + (7 - WEEKDAY(I8,1))) + 1</f>
        <v/>
      </c>
      <c r="L8" s="23">
        <f>F8*G8</f>
        <v/>
      </c>
      <c r="M8" s="1" t="inlineStr">
        <is>
          <t>Missing Assignment: W02 Project Contacts Part 2</t>
        </is>
      </c>
      <c r="N8" s="1" t="inlineStr">
        <is>
          <t>Check in with student missing W02 Project Contacts Part 2</t>
        </is>
      </c>
    </row>
    <row r="9">
      <c r="A9" s="1" t="inlineStr">
        <is>
          <t>CSE341</t>
        </is>
      </c>
      <c r="B9" s="1" t="inlineStr">
        <is>
          <t>Grader-Issued 0</t>
        </is>
      </c>
      <c r="C9" s="45" t="inlineStr">
        <is>
          <t>W02 Project Contacts Part 2</t>
        </is>
      </c>
      <c r="D9" s="23" t="n">
        <v>3</v>
      </c>
      <c r="E9" s="23" t="n">
        <v>4</v>
      </c>
      <c r="F9" s="23" t="n">
        <v>100</v>
      </c>
      <c r="G9" s="24" t="n"/>
      <c r="H9" s="24" t="inlineStr">
        <is>
          <t>y</t>
        </is>
      </c>
      <c r="I9" s="26">
        <f>DATE(YEAR(Setup!$C$4),MONTH(Setup!$C$4),DAY(Setup!$C$4)+((D9-1)*7)+(E9-WEEKDAY(DATE(YEAR(Setup!$C$4),MONTH(Setup!$C$4),DAY(Setup!$C$4)),1)))</f>
        <v/>
      </c>
      <c r="J9" s="26">
        <f>I9+3</f>
        <v/>
      </c>
      <c r="K9" s="26">
        <f>(I9 + (7 - WEEKDAY(I9,1))) + 1</f>
        <v/>
      </c>
      <c r="L9" s="23">
        <f>F9*G9</f>
        <v/>
      </c>
      <c r="M9" s="1" t="inlineStr">
        <is>
          <t>Grader issued 0 on  W02 Project Contacts Part 2</t>
        </is>
      </c>
      <c r="N9" s="44" t="inlineStr">
        <is>
          <t>Grader issued 0 for  W02 Project Contacts Part 2</t>
        </is>
      </c>
    </row>
    <row r="10">
      <c r="A10" s="1" t="inlineStr">
        <is>
          <t>CSE341</t>
        </is>
      </c>
      <c r="B10" s="1" t="inlineStr">
        <is>
          <t>High Performance</t>
        </is>
      </c>
      <c r="C10" s="45" t="inlineStr">
        <is>
          <t xml:space="preserve">
W02 Project Contacts Part 2</t>
        </is>
      </c>
      <c r="D10" s="23" t="n">
        <v>3</v>
      </c>
      <c r="E10" s="23" t="n">
        <v>5</v>
      </c>
      <c r="F10" s="23" t="n">
        <v>100</v>
      </c>
      <c r="G10" s="24" t="n">
        <v>0.9</v>
      </c>
      <c r="H10" s="24" t="inlineStr">
        <is>
          <t>y</t>
        </is>
      </c>
      <c r="I10" s="26">
        <f>DATE(YEAR(Setup!$C$4),MONTH(Setup!$C$4),DAY(Setup!$C$4)+((D10-1)*7)+(E10-WEEKDAY(DATE(YEAR(Setup!$C$4),MONTH(Setup!$C$4),DAY(Setup!$C$4)),1)))</f>
        <v/>
      </c>
      <c r="J10" s="26">
        <f>I10+3</f>
        <v/>
      </c>
      <c r="K10" s="26">
        <f>(I10 + (7 - WEEKDAY(I10,1))) + 1</f>
        <v/>
      </c>
      <c r="L10" s="23">
        <f>F10*G10</f>
        <v/>
      </c>
      <c r="M10" s="1" t="inlineStr">
        <is>
          <t>High Performance:  W02 Project Contacts Part 2</t>
        </is>
      </c>
      <c r="N10" s="1" t="inlineStr">
        <is>
          <t>Provide Positive Feedback on  W02 Project Contacts Part 2</t>
        </is>
      </c>
    </row>
    <row r="11">
      <c r="A11" s="1" t="inlineStr">
        <is>
          <t>CSE341</t>
        </is>
      </c>
      <c r="B11" s="1" t="inlineStr">
        <is>
          <t>Low Performance</t>
        </is>
      </c>
      <c r="C11" s="45" t="inlineStr">
        <is>
          <t xml:space="preserve">
W02 Project Contacts Part 2</t>
        </is>
      </c>
      <c r="D11" s="23" t="n">
        <v>3</v>
      </c>
      <c r="E11" s="23" t="n">
        <v>5</v>
      </c>
      <c r="F11" s="23" t="n">
        <v>100</v>
      </c>
      <c r="G11" s="24" t="n">
        <v>0.7</v>
      </c>
      <c r="H11" s="24" t="inlineStr">
        <is>
          <t>y</t>
        </is>
      </c>
      <c r="I11" s="26">
        <f>DATE(YEAR(Setup!$C$4),MONTH(Setup!$C$4),DAY(Setup!$C$4)+((D11-1)*7)+(E11-WEEKDAY(DATE(YEAR(Setup!$C$4),MONTH(Setup!$C$4),DAY(Setup!$C$4)),1)))</f>
        <v/>
      </c>
      <c r="J11" s="26">
        <f>I11+3</f>
        <v/>
      </c>
      <c r="K11" s="26">
        <f>(I11 + (7 - WEEKDAY(I11,1))) + 1</f>
        <v/>
      </c>
      <c r="L11" s="23">
        <f>F11*G11</f>
        <v/>
      </c>
      <c r="M11" s="1" t="inlineStr">
        <is>
          <t>Low Performance:  W02 Project Contacts Part 2</t>
        </is>
      </c>
      <c r="N11" s="1" t="inlineStr">
        <is>
          <t xml:space="preserve">At Risk. Student scored below 70% on  W02 Project Contacts Part 2. Check in to see how you can help. </t>
        </is>
      </c>
    </row>
    <row r="12">
      <c r="A12" s="1" t="inlineStr">
        <is>
          <t>CSE341</t>
        </is>
      </c>
      <c r="B12" s="1" t="inlineStr">
        <is>
          <t>Missing Assignment</t>
        </is>
      </c>
      <c r="C12" s="43" t="inlineStr">
        <is>
          <t>W03 Project: Project 2 Part 1 (CRUD Operations)</t>
        </is>
      </c>
      <c r="D12" s="23" t="n">
        <v>4</v>
      </c>
      <c r="E12" s="23" t="n">
        <v>2</v>
      </c>
      <c r="F12" s="23" t="n">
        <v>100</v>
      </c>
      <c r="G12" s="24" t="n"/>
      <c r="H12" s="24" t="inlineStr">
        <is>
          <t>y</t>
        </is>
      </c>
      <c r="I12" s="26">
        <f>DATE(YEAR(Setup!$C$4),MONTH(Setup!$C$4),DAY(Setup!$C$4)+((D12-1)*7)+(E12-WEEKDAY(DATE(YEAR(Setup!$C$4),MONTH(Setup!$C$4),DAY(Setup!$C$4)),1)))</f>
        <v/>
      </c>
      <c r="J12" s="26">
        <f>I12+3</f>
        <v/>
      </c>
      <c r="K12" s="26">
        <f>(I12 + (7 - WEEKDAY(I12,1))) + 1</f>
        <v/>
      </c>
      <c r="L12" s="23">
        <f>F12*G12</f>
        <v/>
      </c>
      <c r="M12" s="1" t="inlineStr">
        <is>
          <t>Missing Assignment: W03 Project: Project 2 Part 1</t>
        </is>
      </c>
      <c r="N12" s="1" t="inlineStr">
        <is>
          <t>Check in with student missing W03 Project: Project 2 Part 1</t>
        </is>
      </c>
    </row>
    <row r="13">
      <c r="A13" s="1" t="inlineStr">
        <is>
          <t>CSE341</t>
        </is>
      </c>
      <c r="B13" s="1" t="inlineStr">
        <is>
          <t>Grader-Issued 0</t>
        </is>
      </c>
      <c r="C13" s="1" t="inlineStr">
        <is>
          <t>W03 Project: Project 2 Part 1 (CRUD Operations)</t>
        </is>
      </c>
      <c r="D13" s="23" t="n">
        <v>4</v>
      </c>
      <c r="E13" s="23" t="n">
        <v>4</v>
      </c>
      <c r="F13" s="23" t="n">
        <v>100</v>
      </c>
      <c r="G13" s="24" t="n"/>
      <c r="H13" s="24" t="inlineStr">
        <is>
          <t>y</t>
        </is>
      </c>
      <c r="I13" s="26">
        <f>DATE(YEAR(Setup!$C$4),MONTH(Setup!$C$4),DAY(Setup!$C$4)+((D13-1)*7)+(E13-WEEKDAY(DATE(YEAR(Setup!$C$4),MONTH(Setup!$C$4),DAY(Setup!$C$4)),1)))</f>
        <v/>
      </c>
      <c r="J13" s="26">
        <f>I13+3</f>
        <v/>
      </c>
      <c r="K13" s="26">
        <f>(I13 + (7 - WEEKDAY(I13,1))) + 1</f>
        <v/>
      </c>
      <c r="L13" s="23">
        <f>F13*G13</f>
        <v/>
      </c>
      <c r="M13" s="1" t="inlineStr">
        <is>
          <t>Grader issued 0 on W03 Project: Project 2 Part 1</t>
        </is>
      </c>
      <c r="N13" s="44" t="inlineStr">
        <is>
          <t>Grader issued 0 for W03 Project: Project 2 Part 1</t>
        </is>
      </c>
    </row>
    <row r="14">
      <c r="A14" s="1" t="inlineStr">
        <is>
          <t>CSE341</t>
        </is>
      </c>
      <c r="B14" s="1" t="inlineStr">
        <is>
          <t>Scheduled - Low Current Grade</t>
        </is>
      </c>
      <c r="C14" s="1" t="inlineStr">
        <is>
          <t>Withdraw Deadline Reminder</t>
        </is>
      </c>
      <c r="D14" s="23" t="n">
        <v>4</v>
      </c>
      <c r="E14" s="23" t="n">
        <v>4</v>
      </c>
      <c r="G14" s="24" t="n">
        <v>0.5</v>
      </c>
      <c r="H14" s="24" t="inlineStr">
        <is>
          <t>y</t>
        </is>
      </c>
      <c r="I14" s="26">
        <f>DATE(YEAR(Setup!$C$4),MONTH(Setup!$C$4),DAY(Setup!$C$4)+((D14-1)*7)+(E14-WEEKDAY(DATE(YEAR(Setup!$C$4),MONTH(Setup!$C$4),DAY(Setup!$C$4)),1)))</f>
        <v/>
      </c>
      <c r="J14" s="26">
        <f>I14+3</f>
        <v/>
      </c>
      <c r="K14" s="26">
        <f>(I14 + (7 - WEEKDAY(I14,1))) + 1</f>
        <v/>
      </c>
      <c r="L14" s="23">
        <f>F14*G14</f>
        <v/>
      </c>
      <c r="M14" s="1" t="inlineStr">
        <is>
          <t>Failing student. Withdraw Reminder</t>
        </is>
      </c>
      <c r="N14" s="1" t="inlineStr">
        <is>
          <t>Email students who are currently failing with little chance to catch up, reminding them of the withdraw deadline.</t>
        </is>
      </c>
    </row>
    <row r="15">
      <c r="A15" s="1" t="inlineStr">
        <is>
          <t>CSE341</t>
        </is>
      </c>
      <c r="B15" s="1" t="inlineStr">
        <is>
          <t>High Performance</t>
        </is>
      </c>
      <c r="C15" s="43" t="inlineStr">
        <is>
          <t>W03 Project: Project 2 Part 1 (CRUD Operations)</t>
        </is>
      </c>
      <c r="D15" s="23" t="n">
        <v>4</v>
      </c>
      <c r="E15" s="23" t="n">
        <v>5</v>
      </c>
      <c r="F15" s="23" t="n">
        <v>100</v>
      </c>
      <c r="G15" s="24" t="n">
        <v>0.9</v>
      </c>
      <c r="H15" s="24" t="inlineStr">
        <is>
          <t>y</t>
        </is>
      </c>
      <c r="I15" s="26">
        <f>DATE(YEAR(Setup!$C$4),MONTH(Setup!$C$4),DAY(Setup!$C$4)+((D15-1)*7)+(E15-WEEKDAY(DATE(YEAR(Setup!$C$4),MONTH(Setup!$C$4),DAY(Setup!$C$4)),1)))</f>
        <v/>
      </c>
      <c r="J15" s="26">
        <f>I15+3</f>
        <v/>
      </c>
      <c r="K15" s="26">
        <f>(I15 + (7 - WEEKDAY(I15,1))) + 1</f>
        <v/>
      </c>
      <c r="L15" s="23">
        <f>F15*G15</f>
        <v/>
      </c>
      <c r="M15" s="1" t="inlineStr">
        <is>
          <t>High Performance: W03 Project: Project 2 Part 1</t>
        </is>
      </c>
      <c r="N15" s="1" t="inlineStr">
        <is>
          <t>Provide Positive Feedback on W03 Project: Project 2 Part 1</t>
        </is>
      </c>
    </row>
    <row r="16">
      <c r="A16" s="1" t="inlineStr">
        <is>
          <t>CSE341</t>
        </is>
      </c>
      <c r="B16" s="1" t="inlineStr">
        <is>
          <t>Low Performance</t>
        </is>
      </c>
      <c r="C16" s="43" t="inlineStr">
        <is>
          <t>W03 Project: Project 2 Part 1 (CRUD Operations)</t>
        </is>
      </c>
      <c r="D16" s="23" t="n">
        <v>4</v>
      </c>
      <c r="E16" s="23" t="n">
        <v>5</v>
      </c>
      <c r="F16" s="23" t="n">
        <v>100</v>
      </c>
      <c r="G16" s="24" t="n">
        <v>0.7</v>
      </c>
      <c r="H16" s="24" t="inlineStr">
        <is>
          <t>y</t>
        </is>
      </c>
      <c r="I16" s="26">
        <f>DATE(YEAR(Setup!$C$4),MONTH(Setup!$C$4),DAY(Setup!$C$4)+((D16-1)*7)+(E16-WEEKDAY(DATE(YEAR(Setup!$C$4),MONTH(Setup!$C$4),DAY(Setup!$C$4)),1)))</f>
        <v/>
      </c>
      <c r="J16" s="26">
        <f>I16+3</f>
        <v/>
      </c>
      <c r="K16" s="26">
        <f>(I16 + (7 - WEEKDAY(I16,1))) + 1</f>
        <v/>
      </c>
      <c r="L16" s="23">
        <f>F16*G16</f>
        <v/>
      </c>
      <c r="M16" s="1" t="inlineStr">
        <is>
          <t>Low Performance: W03 Project: Project 2 Part 1</t>
        </is>
      </c>
      <c r="N16" s="1" t="inlineStr">
        <is>
          <t xml:space="preserve">At Risk. Student scored below 70% on W03 Project: Project 2 Part 1. Check in to see how you can help. </t>
        </is>
      </c>
    </row>
    <row r="17">
      <c r="A17" s="1" t="inlineStr">
        <is>
          <t>CSE341</t>
        </is>
      </c>
      <c r="B17" s="1" t="inlineStr">
        <is>
          <t>Missing Assignment</t>
        </is>
      </c>
      <c r="C17" s="43" t="inlineStr">
        <is>
          <t>W04 Project: Project 2 Part 2 (Authentication)</t>
        </is>
      </c>
      <c r="D17" s="23" t="n">
        <v>5</v>
      </c>
      <c r="E17" s="23" t="n">
        <v>2</v>
      </c>
      <c r="F17" s="23" t="n">
        <v>100</v>
      </c>
      <c r="G17" s="24" t="n"/>
      <c r="H17" s="24" t="inlineStr">
        <is>
          <t>y</t>
        </is>
      </c>
      <c r="I17" s="26">
        <f>DATE(YEAR(Setup!$C$4),MONTH(Setup!$C$4),DAY(Setup!$C$4)+((D17-1)*7)+(E17-WEEKDAY(DATE(YEAR(Setup!$C$4),MONTH(Setup!$C$4),DAY(Setup!$C$4)),1)))</f>
        <v/>
      </c>
      <c r="J17" s="26">
        <f>I17+3</f>
        <v/>
      </c>
      <c r="K17" s="26">
        <f>(I17 + (7 - WEEKDAY(I17,1))) + 1</f>
        <v/>
      </c>
      <c r="L17" s="23">
        <f>F17*G17</f>
        <v/>
      </c>
      <c r="M17" s="1" t="inlineStr">
        <is>
          <t>Missing Assignment: W04 Project: Project 2 Part 2</t>
        </is>
      </c>
      <c r="N17" s="1" t="inlineStr">
        <is>
          <t>Check in with student missing W04 Project: Project 2 Part 2</t>
        </is>
      </c>
    </row>
    <row r="18">
      <c r="A18" s="1" t="inlineStr">
        <is>
          <t>CSE341</t>
        </is>
      </c>
      <c r="B18" s="1" t="inlineStr">
        <is>
          <t>Grader-Issued 0</t>
        </is>
      </c>
      <c r="C18" s="1" t="inlineStr">
        <is>
          <t>W04 Project: Project 2 Part 2 (Authentication)</t>
        </is>
      </c>
      <c r="D18" s="23" t="n">
        <v>5</v>
      </c>
      <c r="E18" s="23" t="n">
        <v>4</v>
      </c>
      <c r="F18" s="23" t="n">
        <v>100</v>
      </c>
      <c r="G18" s="24" t="n"/>
      <c r="H18" s="24" t="inlineStr">
        <is>
          <t>y</t>
        </is>
      </c>
      <c r="I18" s="26">
        <f>DATE(YEAR(Setup!$C$4),MONTH(Setup!$C$4),DAY(Setup!$C$4)+((D18-1)*7)+(E18-WEEKDAY(DATE(YEAR(Setup!$C$4),MONTH(Setup!$C$4),DAY(Setup!$C$4)),1)))</f>
        <v/>
      </c>
      <c r="J18" s="26">
        <f>I18+3</f>
        <v/>
      </c>
      <c r="K18" s="26">
        <f>(I18 + (7 - WEEKDAY(I18,1))) + 1</f>
        <v/>
      </c>
      <c r="L18" s="23">
        <f>F18*G18</f>
        <v/>
      </c>
      <c r="M18" s="1" t="inlineStr">
        <is>
          <t>Grader issued 0 on  W04 Project: Project 2 Part 2</t>
        </is>
      </c>
      <c r="N18" s="44" t="inlineStr">
        <is>
          <t>Grader issued 0 for  W04 Project: Project 2 Part 2</t>
        </is>
      </c>
    </row>
    <row r="19">
      <c r="A19" s="1" t="inlineStr">
        <is>
          <t>CSE341</t>
        </is>
      </c>
      <c r="B19" s="1" t="inlineStr">
        <is>
          <t>Scheduled - Classwide</t>
        </is>
      </c>
      <c r="C19" s="1" t="inlineStr">
        <is>
          <t>Registration Reminder 1</t>
        </is>
      </c>
      <c r="D19" s="23" t="n">
        <v>5</v>
      </c>
      <c r="E19" s="23" t="n">
        <v>4</v>
      </c>
      <c r="G19" s="24" t="n"/>
      <c r="H19" s="24" t="inlineStr">
        <is>
          <t>y</t>
        </is>
      </c>
      <c r="I19" s="26">
        <f>DATE(YEAR(Setup!$C$4),MONTH(Setup!$C$4),DAY(Setup!$C$4)+((D19-1)*7)+(E19-WEEKDAY(DATE(YEAR(Setup!$C$4),MONTH(Setup!$C$4),DAY(Setup!$C$4)),1)))</f>
        <v/>
      </c>
      <c r="J19" s="26">
        <f>I19+3</f>
        <v/>
      </c>
      <c r="K19" s="26">
        <f>(I19 + (7 - WEEKDAY(I19,1))) + 1</f>
        <v/>
      </c>
      <c r="L19" s="23">
        <f>F19*G19</f>
        <v/>
      </c>
      <c r="M19" s="1" t="inlineStr">
        <is>
          <t>Registration Reminder 1</t>
        </is>
      </c>
      <c r="N19" s="43" t="inlineStr">
        <is>
          <t>Send a message to all students, reminding them that registration for the next block is now open and encouraging them to go and take action.</t>
        </is>
      </c>
    </row>
    <row r="20">
      <c r="A20" s="1" t="inlineStr">
        <is>
          <t>CSE341</t>
        </is>
      </c>
      <c r="B20" s="1" t="inlineStr">
        <is>
          <t>High Performance</t>
        </is>
      </c>
      <c r="C20" s="43" t="inlineStr">
        <is>
          <t>W04 Project: Project 2 Part 2 (Authentication)</t>
        </is>
      </c>
      <c r="D20" s="23" t="n">
        <v>5</v>
      </c>
      <c r="E20" s="23" t="n">
        <v>5</v>
      </c>
      <c r="F20" s="23" t="n">
        <v>100</v>
      </c>
      <c r="G20" s="24" t="n">
        <v>0.9</v>
      </c>
      <c r="H20" s="24" t="inlineStr">
        <is>
          <t>y</t>
        </is>
      </c>
      <c r="I20" s="26">
        <f>DATE(YEAR(Setup!$C$4),MONTH(Setup!$C$4),DAY(Setup!$C$4)+((D20-1)*7)+(E20-WEEKDAY(DATE(YEAR(Setup!$C$4),MONTH(Setup!$C$4),DAY(Setup!$C$4)),1)))</f>
        <v/>
      </c>
      <c r="J20" s="26">
        <f>I20+3</f>
        <v/>
      </c>
      <c r="K20" s="26">
        <f>(I20 + (7 - WEEKDAY(I20,1))) + 1</f>
        <v/>
      </c>
      <c r="L20" s="23">
        <f>F20*G20</f>
        <v/>
      </c>
      <c r="M20" s="1" t="inlineStr">
        <is>
          <t>High Performance:  W04 Project: Project 2 Part 2</t>
        </is>
      </c>
      <c r="N20" s="1" t="inlineStr">
        <is>
          <t>Provide Positive Feedback on  W04 Project: Project 2 Part 2</t>
        </is>
      </c>
    </row>
    <row r="21">
      <c r="A21" s="1" t="inlineStr">
        <is>
          <t>CSE341</t>
        </is>
      </c>
      <c r="B21" s="1" t="inlineStr">
        <is>
          <t>Low Performance</t>
        </is>
      </c>
      <c r="C21" s="43" t="inlineStr">
        <is>
          <t>W04 Project: Project 2 Part 2 (Authentication)</t>
        </is>
      </c>
      <c r="D21" s="23" t="n">
        <v>5</v>
      </c>
      <c r="E21" s="23" t="n">
        <v>5</v>
      </c>
      <c r="F21" s="23" t="n">
        <v>100</v>
      </c>
      <c r="G21" s="24" t="n">
        <v>0.7</v>
      </c>
      <c r="H21" s="24" t="inlineStr">
        <is>
          <t>y</t>
        </is>
      </c>
      <c r="I21" s="26">
        <f>DATE(YEAR(Setup!$C$4),MONTH(Setup!$C$4),DAY(Setup!$C$4)+((D21-1)*7)+(E21-WEEKDAY(DATE(YEAR(Setup!$C$4),MONTH(Setup!$C$4),DAY(Setup!$C$4)),1)))</f>
        <v/>
      </c>
      <c r="J21" s="26">
        <f>I21+3</f>
        <v/>
      </c>
      <c r="K21" s="26">
        <f>(I21 + (7 - WEEKDAY(I21,1))) + 1</f>
        <v/>
      </c>
      <c r="L21" s="23">
        <f>F21*G21</f>
        <v/>
      </c>
      <c r="M21" s="1" t="inlineStr">
        <is>
          <t>Low Performance:  W04 Project: Project 2 Part 2</t>
        </is>
      </c>
      <c r="N21" s="1" t="inlineStr">
        <is>
          <t xml:space="preserve">At Risk. Student scored below 70% on  W04 Project 2 Part 2. Check in to see how you can help. </t>
        </is>
      </c>
    </row>
    <row r="22">
      <c r="A22" s="1" t="inlineStr">
        <is>
          <t>CSE341</t>
        </is>
      </c>
      <c r="B22" s="1" t="inlineStr">
        <is>
          <t>Missing Assignment</t>
        </is>
      </c>
      <c r="C22" s="1" t="inlineStr">
        <is>
          <t>W05 Final Project Part 1: First Two Collections with Crud Operations and API Documentation</t>
        </is>
      </c>
      <c r="D22" s="23" t="n">
        <v>6</v>
      </c>
      <c r="E22" s="23" t="n">
        <v>2</v>
      </c>
      <c r="F22" s="23" t="n">
        <v>100</v>
      </c>
      <c r="G22" s="24" t="n"/>
      <c r="H22" s="24" t="inlineStr">
        <is>
          <t>y</t>
        </is>
      </c>
      <c r="I22" s="26">
        <f>DATE(YEAR(Setup!$C$4),MONTH(Setup!$C$4),DAY(Setup!$C$4)+((D22-1)*7)+(E22-WEEKDAY(DATE(YEAR(Setup!$C$4),MONTH(Setup!$C$4),DAY(Setup!$C$4)),1)))</f>
        <v/>
      </c>
      <c r="J22" s="26">
        <f>I22+3</f>
        <v/>
      </c>
      <c r="K22" s="26">
        <f>(I22 + (7 - WEEKDAY(I22,1))) + 1</f>
        <v/>
      </c>
      <c r="L22" s="23">
        <f>F22*G22</f>
        <v/>
      </c>
      <c r="M22" s="1" t="inlineStr">
        <is>
          <t>Missing Assignment: W05 Final Project Part 1: First Two Collections with Crud Operations and API Documentation</t>
        </is>
      </c>
      <c r="N22" s="1" t="inlineStr">
        <is>
          <t>Check in with student missing W05 Final Project Part 1: First Two Collections with Crud Operations and API Documentation</t>
        </is>
      </c>
    </row>
    <row r="23">
      <c r="A23" s="1" t="inlineStr">
        <is>
          <t>CSE341</t>
        </is>
      </c>
      <c r="B23" s="1" t="inlineStr">
        <is>
          <t>Grader-Issued 0</t>
        </is>
      </c>
      <c r="C23" s="1" t="inlineStr">
        <is>
          <t>W05 Final Project Part 1: First Two Collections with Crud Operations and API Documentation</t>
        </is>
      </c>
      <c r="D23" s="23" t="n">
        <v>6</v>
      </c>
      <c r="E23" s="23" t="n">
        <v>4</v>
      </c>
      <c r="F23" s="23" t="n">
        <v>100</v>
      </c>
      <c r="G23" s="24" t="n"/>
      <c r="H23" s="24" t="inlineStr">
        <is>
          <t>y</t>
        </is>
      </c>
      <c r="I23" s="26">
        <f>DATE(YEAR(Setup!$C$4),MONTH(Setup!$C$4),DAY(Setup!$C$4)+((D23-1)*7)+(E23-WEEKDAY(DATE(YEAR(Setup!$C$4),MONTH(Setup!$C$4),DAY(Setup!$C$4)),1)))</f>
        <v/>
      </c>
      <c r="J23" s="26">
        <f>I23+3</f>
        <v/>
      </c>
      <c r="K23" s="26">
        <f>(I23 + (7 - WEEKDAY(I23,1))) + 1</f>
        <v/>
      </c>
      <c r="L23" s="23">
        <f>F23*G23</f>
        <v/>
      </c>
      <c r="M23" s="1" t="inlineStr">
        <is>
          <t>Grader issued 0 on W05 Final Project Part 1</t>
        </is>
      </c>
      <c r="N23" s="44" t="inlineStr">
        <is>
          <t>Grader issued 0 for W05 Final Project Part 1: First Two Collections with Crud Operations and API Documentation</t>
        </is>
      </c>
    </row>
    <row r="24">
      <c r="A24" s="1" t="inlineStr">
        <is>
          <t>CSE341</t>
        </is>
      </c>
      <c r="B24" s="1" t="inlineStr">
        <is>
          <t>High Performance</t>
        </is>
      </c>
      <c r="C24" s="1" t="inlineStr">
        <is>
          <t>W05 Final Project Part 1: First Two Collections with Crud Operations and API Documentation</t>
        </is>
      </c>
      <c r="D24" s="23" t="n">
        <v>6</v>
      </c>
      <c r="E24" s="23" t="n">
        <v>5</v>
      </c>
      <c r="F24" s="23" t="n">
        <v>100</v>
      </c>
      <c r="G24" s="24" t="n">
        <v>0.9</v>
      </c>
      <c r="H24" s="24" t="inlineStr">
        <is>
          <t>y</t>
        </is>
      </c>
      <c r="I24" s="26">
        <f>DATE(YEAR(Setup!$C$4),MONTH(Setup!$C$4),DAY(Setup!$C$4)+((D24-1)*7)+(E24-WEEKDAY(DATE(YEAR(Setup!$C$4),MONTH(Setup!$C$4),DAY(Setup!$C$4)),1)))</f>
        <v/>
      </c>
      <c r="J24" s="26">
        <f>I24+3</f>
        <v/>
      </c>
      <c r="K24" s="26">
        <f>(I24 + (7 - WEEKDAY(I24,1))) + 1</f>
        <v/>
      </c>
      <c r="L24" s="23">
        <f>F24*G24</f>
        <v/>
      </c>
      <c r="M24" s="1" t="inlineStr">
        <is>
          <t>High Performance: W05 Final Project Part 1</t>
        </is>
      </c>
      <c r="N24" s="1" t="inlineStr">
        <is>
          <t>Provide Positive Feedback on W05 Final Project Part 1: First Two Collections with Crud Operations and API Documentation</t>
        </is>
      </c>
    </row>
    <row r="25">
      <c r="A25" s="1" t="inlineStr">
        <is>
          <t>CSE341</t>
        </is>
      </c>
      <c r="B25" s="1" t="inlineStr">
        <is>
          <t>Low Performance</t>
        </is>
      </c>
      <c r="C25" s="1" t="inlineStr">
        <is>
          <t>W05 Final Project Part 1: First Two Collections with Crud Operations and API Documentation</t>
        </is>
      </c>
      <c r="D25" s="23" t="n">
        <v>6</v>
      </c>
      <c r="E25" s="23" t="n">
        <v>5</v>
      </c>
      <c r="F25" s="23" t="n">
        <v>100</v>
      </c>
      <c r="G25" s="24" t="n">
        <v>0.7</v>
      </c>
      <c r="H25" s="24" t="inlineStr">
        <is>
          <t>y</t>
        </is>
      </c>
      <c r="I25" s="26">
        <f>DATE(YEAR(Setup!$C$4),MONTH(Setup!$C$4),DAY(Setup!$C$4)+((D25-1)*7)+(E25-WEEKDAY(DATE(YEAR(Setup!$C$4),MONTH(Setup!$C$4),DAY(Setup!$C$4)),1)))</f>
        <v/>
      </c>
      <c r="J25" s="26">
        <f>I25+3</f>
        <v/>
      </c>
      <c r="K25" s="26">
        <f>(I25 + (7 - WEEKDAY(I25,1))) + 1</f>
        <v/>
      </c>
      <c r="L25" s="23">
        <f>F25*G25</f>
        <v/>
      </c>
      <c r="M25" s="1" t="inlineStr">
        <is>
          <t>Low Performance: W05 Final Project Part 1</t>
        </is>
      </c>
      <c r="N25" s="1" t="inlineStr">
        <is>
          <t xml:space="preserve">At Risk. Student scored below 70% on W05 Final Project Part 1: First Two Collections with Crud Operations and API Documentation. Check in to see how you can help. </t>
        </is>
      </c>
    </row>
    <row r="26">
      <c r="A26" s="1" t="inlineStr">
        <is>
          <t>CSE341</t>
        </is>
      </c>
      <c r="B26" s="1" t="inlineStr">
        <is>
          <t>Scheduled - Classwide</t>
        </is>
      </c>
      <c r="C26" s="1" t="inlineStr">
        <is>
          <t>Registration Reminder 2</t>
        </is>
      </c>
      <c r="D26" s="23" t="n">
        <v>7</v>
      </c>
      <c r="E26" s="23" t="n">
        <v>1</v>
      </c>
      <c r="G26" s="24" t="n"/>
      <c r="H26" s="24" t="inlineStr">
        <is>
          <t>y</t>
        </is>
      </c>
      <c r="I26" s="26">
        <f>DATE(YEAR(Setup!$C$4),MONTH(Setup!$C$4),DAY(Setup!$C$4)+((D26-1)*7)+(E26-WEEKDAY(DATE(YEAR(Setup!$C$4),MONTH(Setup!$C$4),DAY(Setup!$C$4)),1)))</f>
        <v/>
      </c>
      <c r="J26" s="26">
        <f>I26+3</f>
        <v/>
      </c>
      <c r="K26" s="26">
        <f>(I26 + (7 - WEEKDAY(I26,1))) + 1</f>
        <v/>
      </c>
      <c r="L26" s="23">
        <f>F26*G26</f>
        <v/>
      </c>
      <c r="M26" s="1" t="inlineStr">
        <is>
          <t>Registration Reminder 2</t>
        </is>
      </c>
      <c r="N26" s="43" t="inlineStr">
        <is>
          <t>Send a message to all students, reminding them that registration for the next block is still open, but will be closing soon. Encourage them to go in and register as soon as possible.</t>
        </is>
      </c>
    </row>
    <row r="27">
      <c r="A27" s="1" t="inlineStr">
        <is>
          <t>CSE341</t>
        </is>
      </c>
      <c r="B27" s="1" t="inlineStr">
        <is>
          <t>Scheduled - Classwide</t>
        </is>
      </c>
      <c r="C27" s="1" t="inlineStr">
        <is>
          <t>End of Block Reminder</t>
        </is>
      </c>
      <c r="D27" s="23" t="n">
        <v>7</v>
      </c>
      <c r="E27" s="23" t="n">
        <v>2</v>
      </c>
      <c r="G27" s="24" t="n"/>
      <c r="H27" s="24" t="inlineStr">
        <is>
          <t>y</t>
        </is>
      </c>
      <c r="I27" s="26">
        <f>DATE(YEAR(Setup!$C$4),MONTH(Setup!$C$4),DAY(Setup!$C$4)+((D27-1)*7)+(E27-WEEKDAY(DATE(YEAR(Setup!$C$4),MONTH(Setup!$C$4),DAY(Setup!$C$4)),1)))</f>
        <v/>
      </c>
      <c r="J27" s="26">
        <f>I27+3</f>
        <v/>
      </c>
      <c r="K27" s="26">
        <f>(I27 + (7 - WEEKDAY(I27,1))) + 1</f>
        <v/>
      </c>
      <c r="L27" s="23">
        <f>F27*G27</f>
        <v/>
      </c>
      <c r="M27" s="1" t="inlineStr">
        <is>
          <t>End of Block Reminder</t>
        </is>
      </c>
      <c r="N27" s="44" t="inlineStr">
        <is>
          <t>Remind Students the course will be closing, submit assignments by deadline, complete End-of-Course Evaluation</t>
        </is>
      </c>
    </row>
  </sheetData>
  <sheetProtection selectLockedCells="1" selectUnlockedCells="0" algorithmName="SHA-512" sheet="1" objects="0" insertRows="0" insertHyperlinks="1" autoFilter="0" scenarios="0" formatColumns="1" deleteColumns="1" insertColumns="1" pivotTables="1" deleteRows="0" formatCells="0" saltValue="5nDlJEqUrc+0lvk6a88nbA==" formatRows="0" sort="0" spinCount="100000" hashValue="wpE383mXdwZJ7Yg9EBp8Cy2VqiXPEW7PsizONnNUipOaJRQRuigfl+IgQemRkS+uQ+tvxWxNsoYpUBOtqBaa+w=="/>
  <autoFilter ref="A1:N27"/>
  <dataValidations disablePrompts="1" count="3">
    <dataValidation sqref="B2:B1048576 C22"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4.xml><?xml version="1.0" encoding="utf-8"?>
<worksheet xmlns="http://schemas.openxmlformats.org/spreadsheetml/2006/main">
  <sheetPr codeName="Sheet12">
    <tabColor rgb="FF00B050"/>
    <outlinePr summaryBelow="1" summaryRight="1"/>
    <pageSetUpPr/>
  </sheetPr>
  <dimension ref="A1:N80"/>
  <sheetViews>
    <sheetView workbookViewId="0">
      <pane xSplit="3" ySplit="1" topLeftCell="M2" activePane="bottomRight" state="frozen"/>
      <selection pane="bottomRight" activeCell="A18" sqref="A18"/>
      <selection pane="bottomLeft" activeCell="V2" sqref="V2"/>
      <selection pane="topRight" activeCell="V2" sqref="V2"/>
    </sheetView>
  </sheetViews>
  <sheetFormatPr baseColWidth="8" defaultColWidth="8.85546875" defaultRowHeight="15"/>
  <cols>
    <col width="13" customWidth="1" style="1" min="1" max="1"/>
    <col width="24.28515625" customWidth="1" style="1" min="2" max="2"/>
    <col width="38.28515625" bestFit="1" customWidth="1" style="1" min="3" max="3"/>
    <col width="14.42578125" customWidth="1" style="23" min="4" max="4"/>
    <col width="14" customWidth="1" style="23" min="5" max="6"/>
    <col width="14.14062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54.14062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CSE370</t>
        </is>
      </c>
      <c r="B2" s="1" t="inlineStr">
        <is>
          <t>New Student Added</t>
        </is>
      </c>
      <c r="C2" s="1" t="inlineStr">
        <is>
          <t>New Student Added</t>
        </is>
      </c>
      <c r="D2" s="23" t="n">
        <v>0</v>
      </c>
      <c r="E2" s="23" t="n">
        <v>2</v>
      </c>
      <c r="G2" s="24" t="n"/>
      <c r="H2" s="24" t="inlineStr">
        <is>
          <t>y</t>
        </is>
      </c>
      <c r="I2" s="26">
        <f>DATE(YEAR(Setup!$C$4),MONTH(Setup!$C$4),DAY(Setup!$C$4)+((D2-1)*7)+(E2-WEEKDAY(DATE(YEAR(Setup!$C$4),MONTH(Setup!$C$4),DAY(Setup!$C$4)),1)))</f>
        <v/>
      </c>
      <c r="J2" s="26">
        <f>I2+3</f>
        <v/>
      </c>
      <c r="K2" s="26">
        <f>(I2 + (7 - WEEKDAY(I2,1))) + 1</f>
        <v/>
      </c>
      <c r="L2" s="23">
        <f>F2*G2</f>
        <v/>
      </c>
      <c r="M2" s="1" t="inlineStr">
        <is>
          <t>Welcome Email</t>
        </is>
      </c>
    </row>
    <row r="3">
      <c r="A3" s="1" t="inlineStr">
        <is>
          <t>CSE370</t>
        </is>
      </c>
      <c r="B3" s="1" t="inlineStr">
        <is>
          <t>Scheduled - Not Logged In</t>
        </is>
      </c>
      <c r="C3" s="1" t="inlineStr">
        <is>
          <t>Not Logged into Canvas</t>
        </is>
      </c>
      <c r="D3" s="23" t="n">
        <v>1</v>
      </c>
      <c r="E3" s="23" t="n">
        <v>4</v>
      </c>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CSE370</t>
        </is>
      </c>
      <c r="B4" s="1" t="inlineStr">
        <is>
          <t>Missing Assignment</t>
        </is>
      </c>
      <c r="C4" s="1" t="inlineStr">
        <is>
          <t>W01 Assignment: Software Methodology Analysis</t>
        </is>
      </c>
      <c r="D4" s="23" t="n">
        <v>2</v>
      </c>
      <c r="E4" s="23" t="n">
        <v>2</v>
      </c>
      <c r="F4" s="23" t="n">
        <v>50</v>
      </c>
      <c r="G4" s="24" t="n"/>
      <c r="H4" s="24" t="inlineStr">
        <is>
          <t>y</t>
        </is>
      </c>
      <c r="I4" s="26">
        <f>DATE(YEAR(Setup!$C$4),MONTH(Setup!$C$4),DAY(Setup!$C$4)+((D4-1)*7)+(E4-WEEKDAY(DATE(YEAR(Setup!$C$4),MONTH(Setup!$C$4),DAY(Setup!$C$4)),1)))</f>
        <v/>
      </c>
      <c r="J4" s="26">
        <f>I4+3</f>
        <v/>
      </c>
      <c r="K4" s="26">
        <f>(I4 + (7 - WEEKDAY(I4,1))) + 1</f>
        <v/>
      </c>
      <c r="L4" s="23">
        <f>F4*G4</f>
        <v/>
      </c>
      <c r="M4" s="1" t="inlineStr">
        <is>
          <t>Missing Assignment: W01 Assignment: Software Methodology Analysis</t>
        </is>
      </c>
      <c r="N4" s="1" t="inlineStr">
        <is>
          <t>Check in with student missing the W01 Assignment: Software Methodology Analysis. Encourage submission.</t>
        </is>
      </c>
    </row>
    <row r="5">
      <c r="A5" s="1" t="inlineStr">
        <is>
          <t>CSE370</t>
        </is>
      </c>
      <c r="B5" s="1" t="inlineStr">
        <is>
          <t>Grader-Issued 0</t>
        </is>
      </c>
      <c r="C5" s="1" t="inlineStr">
        <is>
          <t>W01 Assignment: Software Methodology Analysis</t>
        </is>
      </c>
      <c r="D5" s="23" t="n">
        <v>2</v>
      </c>
      <c r="E5" s="23" t="n">
        <v>4</v>
      </c>
      <c r="G5" s="24" t="n"/>
      <c r="H5" s="24" t="inlineStr">
        <is>
          <t>y</t>
        </is>
      </c>
      <c r="I5" s="26">
        <f>DATE(YEAR(Setup!$C$4),MONTH(Setup!$C$4),DAY(Setup!$C$4)+((D5-1)*7)+(E5-WEEKDAY(DATE(YEAR(Setup!$C$4),MONTH(Setup!$C$4),DAY(Setup!$C$4)),1)))</f>
        <v/>
      </c>
      <c r="J5" s="26">
        <f>I5+3</f>
        <v/>
      </c>
      <c r="K5" s="26">
        <f>(I5 + (7 - WEEKDAY(I5,1))) + 1</f>
        <v/>
      </c>
      <c r="L5" s="23">
        <f>F5*G5</f>
        <v/>
      </c>
      <c r="M5" s="1" t="inlineStr">
        <is>
          <t>Grader issued 0 on W01 Assignment: Software Methodology Analysis</t>
        </is>
      </c>
      <c r="N5" s="1" t="inlineStr">
        <is>
          <t>The student was given a Grader issued 0 on W01 Assignment: Software Methodology Analysis. Log into Canvas and see the grader comments. Work with the student to help resubmit.</t>
        </is>
      </c>
    </row>
    <row r="6">
      <c r="A6" s="1" t="inlineStr">
        <is>
          <t>CSE370</t>
        </is>
      </c>
      <c r="B6" s="1" t="inlineStr">
        <is>
          <t>High Performance</t>
        </is>
      </c>
      <c r="C6" s="1" t="inlineStr">
        <is>
          <t>W01 Assignment: Software Methodology Analysis</t>
        </is>
      </c>
      <c r="D6" s="23" t="n">
        <v>2</v>
      </c>
      <c r="E6" s="23" t="n">
        <v>5</v>
      </c>
      <c r="F6" s="23" t="n">
        <v>50</v>
      </c>
      <c r="G6" s="24" t="n">
        <v>0.9</v>
      </c>
      <c r="H6" s="24" t="inlineStr">
        <is>
          <t>y</t>
        </is>
      </c>
      <c r="I6" s="26">
        <f>DATE(YEAR(Setup!$C$4),MONTH(Setup!$C$4),DAY(Setup!$C$4)+((D6-1)*7)+(E6-WEEKDAY(DATE(YEAR(Setup!$C$4),MONTH(Setup!$C$4),DAY(Setup!$C$4)),1)))</f>
        <v/>
      </c>
      <c r="J6" s="26">
        <f>I6+3</f>
        <v/>
      </c>
      <c r="K6" s="26">
        <f>(I6 + (7 - WEEKDAY(I6,1))) + 1</f>
        <v/>
      </c>
      <c r="L6" s="23">
        <f>F6*G6</f>
        <v/>
      </c>
      <c r="M6" s="1" t="inlineStr">
        <is>
          <t>High Performance: W01 Assignment: Software Methodology Analysis</t>
        </is>
      </c>
      <c r="N6" s="1" t="inlineStr">
        <is>
          <t xml:space="preserve">Provide Positive feedback for High Performance on W01 Assignment: Software Methodology Analysis. </t>
        </is>
      </c>
    </row>
    <row r="7">
      <c r="A7" s="1" t="inlineStr">
        <is>
          <t>CSE370</t>
        </is>
      </c>
      <c r="B7" s="1" t="inlineStr">
        <is>
          <t>Low Performance</t>
        </is>
      </c>
      <c r="C7" s="1" t="inlineStr">
        <is>
          <t>W01 Assignment: Software Methodology Analysis</t>
        </is>
      </c>
      <c r="D7" s="23" t="n">
        <v>2</v>
      </c>
      <c r="E7" s="23" t="n">
        <v>5</v>
      </c>
      <c r="F7" s="23" t="n">
        <v>50</v>
      </c>
      <c r="G7" s="24" t="n">
        <v>0.7</v>
      </c>
      <c r="H7" s="24" t="inlineStr">
        <is>
          <t>y</t>
        </is>
      </c>
      <c r="I7" s="26">
        <f>DATE(YEAR(Setup!$C$4),MONTH(Setup!$C$4),DAY(Setup!$C$4)+((D7-1)*7)+(E7-WEEKDAY(DATE(YEAR(Setup!$C$4),MONTH(Setup!$C$4),DAY(Setup!$C$4)),1)))</f>
        <v/>
      </c>
      <c r="J7" s="26">
        <f>I7+3</f>
        <v/>
      </c>
      <c r="K7" s="26">
        <f>(I7 + (7 - WEEKDAY(I7,1))) + 1</f>
        <v/>
      </c>
      <c r="L7" s="23">
        <f>F7*G7</f>
        <v/>
      </c>
      <c r="M7" s="1" t="inlineStr">
        <is>
          <t>Low Performance: W01 Assignment: Software Methodology Analysis</t>
        </is>
      </c>
      <c r="N7" s="1" t="inlineStr">
        <is>
          <t>At-Risk. Student performed below 80% on W01 Assignment: Software Methodology Analysis. Check in to see how you can help.</t>
        </is>
      </c>
    </row>
    <row r="8">
      <c r="A8" s="1" t="inlineStr">
        <is>
          <t>CSE370</t>
        </is>
      </c>
      <c r="B8" s="1" t="inlineStr">
        <is>
          <t>Missing Assignment</t>
        </is>
      </c>
      <c r="C8" s="1" t="inlineStr">
        <is>
          <t>W02 Assignment: Case Study Analysis</t>
        </is>
      </c>
      <c r="D8" s="23" t="n">
        <v>3</v>
      </c>
      <c r="E8" s="23" t="n">
        <v>2</v>
      </c>
      <c r="F8" s="23" t="n">
        <v>100</v>
      </c>
      <c r="G8" s="24" t="n"/>
      <c r="H8" s="24" t="inlineStr">
        <is>
          <t>y</t>
        </is>
      </c>
      <c r="I8" s="26">
        <f>DATE(YEAR(Setup!$C$4),MONTH(Setup!$C$4),DAY(Setup!$C$4)+((D8-1)*7)+(E8-WEEKDAY(DATE(YEAR(Setup!$C$4),MONTH(Setup!$C$4),DAY(Setup!$C$4)),1)))</f>
        <v/>
      </c>
      <c r="J8" s="26">
        <f>I8+3</f>
        <v/>
      </c>
      <c r="K8" s="26">
        <f>(I8 + (7 - WEEKDAY(I8,1))) + 1</f>
        <v/>
      </c>
      <c r="L8" s="23">
        <f>F8*G8</f>
        <v/>
      </c>
      <c r="M8" s="1" t="inlineStr">
        <is>
          <t>Missing Assignment: W02 Assignment: Case Study Analysis</t>
        </is>
      </c>
      <c r="N8" s="1" t="inlineStr">
        <is>
          <t>Check in with student missing the W02 Assignment: Case Study Analysis. Encourage submission.</t>
        </is>
      </c>
    </row>
    <row r="9">
      <c r="A9" s="1" t="inlineStr">
        <is>
          <t>CSE370</t>
        </is>
      </c>
      <c r="B9" s="1" t="inlineStr">
        <is>
          <t>Grader-Issued 0</t>
        </is>
      </c>
      <c r="C9" s="1" t="inlineStr">
        <is>
          <t>W02 Assignment: Case Study Analysis</t>
        </is>
      </c>
      <c r="D9" s="23" t="n">
        <v>3</v>
      </c>
      <c r="E9" s="23" t="n">
        <v>4</v>
      </c>
      <c r="G9" s="24" t="n"/>
      <c r="H9" s="24" t="inlineStr">
        <is>
          <t>y</t>
        </is>
      </c>
      <c r="I9" s="26">
        <f>DATE(YEAR(Setup!$C$4),MONTH(Setup!$C$4),DAY(Setup!$C$4)+((D9-1)*7)+(E9-WEEKDAY(DATE(YEAR(Setup!$C$4),MONTH(Setup!$C$4),DAY(Setup!$C$4)),1)))</f>
        <v/>
      </c>
      <c r="J9" s="26">
        <f>I9+3</f>
        <v/>
      </c>
      <c r="K9" s="26">
        <f>(I9 + (7 - WEEKDAY(I9,1))) + 1</f>
        <v/>
      </c>
      <c r="L9" s="23">
        <f>F9*G9</f>
        <v/>
      </c>
      <c r="M9" s="1" t="inlineStr">
        <is>
          <t>Grader issued 0 on W02 Assignment: Case Study Analysis</t>
        </is>
      </c>
      <c r="N9" s="1" t="inlineStr">
        <is>
          <t>The student was given a Grader issued 0 on W02 Assignment: Case Study Analysis. Log into Canvas and see the grader comments. Work with the student to help resubmit.</t>
        </is>
      </c>
    </row>
    <row r="10">
      <c r="A10" s="1" t="inlineStr">
        <is>
          <t>CSE370</t>
        </is>
      </c>
      <c r="B10" s="1" t="inlineStr">
        <is>
          <t>High Performance</t>
        </is>
      </c>
      <c r="C10" s="1" t="inlineStr">
        <is>
          <t>W02 Assignment: Case Study Analysis</t>
        </is>
      </c>
      <c r="D10" s="23" t="n">
        <v>3</v>
      </c>
      <c r="E10" s="23" t="n">
        <v>5</v>
      </c>
      <c r="F10" s="23" t="n">
        <v>100</v>
      </c>
      <c r="G10" s="24" t="n">
        <v>0.9</v>
      </c>
      <c r="H10" s="24" t="inlineStr">
        <is>
          <t>y</t>
        </is>
      </c>
      <c r="I10" s="26">
        <f>DATE(YEAR(Setup!$C$4),MONTH(Setup!$C$4),DAY(Setup!$C$4)+((D10-1)*7)+(E10-WEEKDAY(DATE(YEAR(Setup!$C$4),MONTH(Setup!$C$4),DAY(Setup!$C$4)),1)))</f>
        <v/>
      </c>
      <c r="J10" s="26">
        <f>I10+3</f>
        <v/>
      </c>
      <c r="K10" s="26">
        <f>(I10 + (7 - WEEKDAY(I10,1))) + 1</f>
        <v/>
      </c>
      <c r="L10" s="23">
        <f>F10*G10</f>
        <v/>
      </c>
      <c r="M10" s="1" t="inlineStr">
        <is>
          <t>High Performance: W02 Assignment: Case Study Analysis</t>
        </is>
      </c>
      <c r="N10" s="1" t="inlineStr">
        <is>
          <t>Provide Positive feedback for High Performance: W02 Assignment: Software Methodology Analysis</t>
        </is>
      </c>
    </row>
    <row r="11">
      <c r="A11" s="1" t="inlineStr">
        <is>
          <t>CSE370</t>
        </is>
      </c>
      <c r="B11" s="1" t="inlineStr">
        <is>
          <t>Low Performance</t>
        </is>
      </c>
      <c r="C11" s="1" t="inlineStr">
        <is>
          <t>W02 Assignment: Case Study Analysis</t>
        </is>
      </c>
      <c r="D11" s="23" t="n">
        <v>3</v>
      </c>
      <c r="E11" s="23" t="n">
        <v>5</v>
      </c>
      <c r="F11" s="23" t="n">
        <v>100</v>
      </c>
      <c r="G11" s="24" t="n">
        <v>0.7</v>
      </c>
      <c r="H11" s="24" t="inlineStr">
        <is>
          <t>y</t>
        </is>
      </c>
      <c r="I11" s="26">
        <f>DATE(YEAR(Setup!$C$4),MONTH(Setup!$C$4),DAY(Setup!$C$4)+((D11-1)*7)+(E11-WEEKDAY(DATE(YEAR(Setup!$C$4),MONTH(Setup!$C$4),DAY(Setup!$C$4)),1)))</f>
        <v/>
      </c>
      <c r="J11" s="26">
        <f>I11+3</f>
        <v/>
      </c>
      <c r="K11" s="26">
        <f>(I11 + (7 - WEEKDAY(I11,1))) + 1</f>
        <v/>
      </c>
      <c r="L11" s="23">
        <f>F11*G11</f>
        <v/>
      </c>
      <c r="M11" s="1" t="inlineStr">
        <is>
          <t>Low Performance: W02 Assignment: Case Study Analysis</t>
        </is>
      </c>
      <c r="N11" s="1" t="inlineStr">
        <is>
          <t>At-Risk. Student performed below 80% on W02 Assignment: Case Study Analysis. Check in to see how you can help.</t>
        </is>
      </c>
    </row>
    <row r="12">
      <c r="A12" s="1" t="inlineStr">
        <is>
          <t>CSE370</t>
        </is>
      </c>
      <c r="B12" s="1" t="inlineStr">
        <is>
          <t>Missing Assignment</t>
        </is>
      </c>
      <c r="C12" s="1" t="inlineStr">
        <is>
          <t>W03 Assignment: Case Study Analysis</t>
        </is>
      </c>
      <c r="D12" s="23" t="n">
        <v>4</v>
      </c>
      <c r="E12" s="23" t="n">
        <v>2</v>
      </c>
      <c r="F12" s="23" t="n">
        <v>100</v>
      </c>
      <c r="G12" s="24" t="n"/>
      <c r="H12" s="24" t="inlineStr">
        <is>
          <t>y</t>
        </is>
      </c>
      <c r="I12" s="26">
        <f>DATE(YEAR(Setup!$C$4),MONTH(Setup!$C$4),DAY(Setup!$C$4)+((D12-1)*7)+(E12-WEEKDAY(DATE(YEAR(Setup!$C$4),MONTH(Setup!$C$4),DAY(Setup!$C$4)),1)))</f>
        <v/>
      </c>
      <c r="J12" s="26">
        <f>I12+3</f>
        <v/>
      </c>
      <c r="K12" s="26">
        <f>(I12 + (7 - WEEKDAY(I12,1))) + 1</f>
        <v/>
      </c>
      <c r="L12" s="23">
        <f>F12*G12</f>
        <v/>
      </c>
      <c r="M12" s="1" t="inlineStr">
        <is>
          <t>Missing Assignment: W03 Assignment: Case Study Analysis</t>
        </is>
      </c>
      <c r="N12" s="1" t="inlineStr">
        <is>
          <t>Check in with student missing  the W03 Assignment: Case Study Analysis. Encourage submission.</t>
        </is>
      </c>
    </row>
    <row r="13">
      <c r="A13" s="1" t="inlineStr">
        <is>
          <t>CSE370</t>
        </is>
      </c>
      <c r="B13" s="1" t="inlineStr">
        <is>
          <t>Grader-Issued 0</t>
        </is>
      </c>
      <c r="C13" s="1" t="inlineStr">
        <is>
          <t>W03 Assignment: Case Study Analysis</t>
        </is>
      </c>
      <c r="D13" s="23" t="n">
        <v>4</v>
      </c>
      <c r="E13" s="23" t="n">
        <v>4</v>
      </c>
      <c r="G13" s="24" t="n"/>
      <c r="H13" s="24" t="inlineStr">
        <is>
          <t>y</t>
        </is>
      </c>
      <c r="I13" s="26">
        <f>DATE(YEAR(Setup!$C$4),MONTH(Setup!$C$4),DAY(Setup!$C$4)+((D13-1)*7)+(E13-WEEKDAY(DATE(YEAR(Setup!$C$4),MONTH(Setup!$C$4),DAY(Setup!$C$4)),1)))</f>
        <v/>
      </c>
      <c r="J13" s="26">
        <f>I13+3</f>
        <v/>
      </c>
      <c r="K13" s="26">
        <f>(I13 + (7 - WEEKDAY(I13,1))) + 1</f>
        <v/>
      </c>
      <c r="L13" s="23">
        <f>F13*G13</f>
        <v/>
      </c>
      <c r="M13" s="1" t="inlineStr">
        <is>
          <t>Grader issued 0 on W03 Assignment: Case Study Analysis</t>
        </is>
      </c>
      <c r="N13" s="1" t="inlineStr">
        <is>
          <t>The student was given a Grader issued 0 on Case Study Analysis. Log into Canvas and see the grader comments. Work with the student to help resubmit.</t>
        </is>
      </c>
    </row>
    <row r="14">
      <c r="A14" s="1" t="inlineStr">
        <is>
          <t>CSE370</t>
        </is>
      </c>
      <c r="B14" s="1" t="inlineStr">
        <is>
          <t>High Performance</t>
        </is>
      </c>
      <c r="C14" s="1" t="inlineStr">
        <is>
          <t>W03 Assignment: Case Study Analysis</t>
        </is>
      </c>
      <c r="D14" s="23" t="n">
        <v>4</v>
      </c>
      <c r="E14" s="23" t="n">
        <v>5</v>
      </c>
      <c r="F14" s="23" t="n">
        <v>100</v>
      </c>
      <c r="G14" s="24" t="n">
        <v>0.9</v>
      </c>
      <c r="H14" s="24" t="inlineStr">
        <is>
          <t>y</t>
        </is>
      </c>
      <c r="I14" s="26">
        <f>DATE(YEAR(Setup!$C$4),MONTH(Setup!$C$4),DAY(Setup!$C$4)+((D14-1)*7)+(E14-WEEKDAY(DATE(YEAR(Setup!$C$4),MONTH(Setup!$C$4),DAY(Setup!$C$4)),1)))</f>
        <v/>
      </c>
      <c r="J14" s="26">
        <f>I14+3</f>
        <v/>
      </c>
      <c r="K14" s="26">
        <f>(I14 + (7 - WEEKDAY(I14,1))) + 1</f>
        <v/>
      </c>
      <c r="L14" s="23">
        <f>F14*G14</f>
        <v/>
      </c>
      <c r="M14" s="1" t="inlineStr">
        <is>
          <t>High Performance: W03 Assignment: Case Study Analysis</t>
        </is>
      </c>
      <c r="N14" s="1" t="inlineStr">
        <is>
          <t>Provide Positive feedback for High Performance: W03 Assignment: Software Methodology Analysis</t>
        </is>
      </c>
    </row>
    <row r="15">
      <c r="A15" s="1" t="inlineStr">
        <is>
          <t>CSE370</t>
        </is>
      </c>
      <c r="B15" s="1" t="inlineStr">
        <is>
          <t>Low Performance</t>
        </is>
      </c>
      <c r="C15" s="1" t="inlineStr">
        <is>
          <t>W03 Assignment: Case Study Analysis</t>
        </is>
      </c>
      <c r="D15" s="23" t="n">
        <v>4</v>
      </c>
      <c r="E15" s="23" t="n">
        <v>5</v>
      </c>
      <c r="F15" s="23" t="n">
        <v>100</v>
      </c>
      <c r="G15" s="24" t="n">
        <v>0.7</v>
      </c>
      <c r="H15" s="24" t="inlineStr">
        <is>
          <t>y</t>
        </is>
      </c>
      <c r="I15" s="26">
        <f>DATE(YEAR(Setup!$C$4),MONTH(Setup!$C$4),DAY(Setup!$C$4)+((D15-1)*7)+(E15-WEEKDAY(DATE(YEAR(Setup!$C$4),MONTH(Setup!$C$4),DAY(Setup!$C$4)),1)))</f>
        <v/>
      </c>
      <c r="J15" s="26">
        <f>I15+3</f>
        <v/>
      </c>
      <c r="K15" s="26">
        <f>(I15 + (7 - WEEKDAY(I15,1))) + 1</f>
        <v/>
      </c>
      <c r="L15" s="23">
        <f>F15*G15</f>
        <v/>
      </c>
      <c r="M15" s="1" t="inlineStr">
        <is>
          <t>Low Performance: W03 Assignment: Case Study Analysis</t>
        </is>
      </c>
      <c r="N15" s="1" t="inlineStr">
        <is>
          <t>At-Risk. Student performed below 80% on W03 Assignment: Case Study Analysis. Check in to see how you can help.</t>
        </is>
      </c>
    </row>
    <row r="16">
      <c r="A16" s="1" t="inlineStr">
        <is>
          <t>CSE370</t>
        </is>
      </c>
      <c r="B16" s="1" t="inlineStr">
        <is>
          <t>Missing Assignment</t>
        </is>
      </c>
      <c r="C16" s="1" t="inlineStr">
        <is>
          <t>W04 Assignment: Case Study Analysis</t>
        </is>
      </c>
      <c r="D16" s="23" t="n">
        <v>5</v>
      </c>
      <c r="E16" s="23" t="n">
        <v>2</v>
      </c>
      <c r="F16" s="23" t="n">
        <v>100</v>
      </c>
      <c r="G16" s="24" t="n"/>
      <c r="H16" s="24" t="inlineStr">
        <is>
          <t>y</t>
        </is>
      </c>
      <c r="I16" s="26">
        <f>DATE(YEAR(Setup!$C$4),MONTH(Setup!$C$4),DAY(Setup!$C$4)+((D16-1)*7)+(E16-WEEKDAY(DATE(YEAR(Setup!$C$4),MONTH(Setup!$C$4),DAY(Setup!$C$4)),1)))</f>
        <v/>
      </c>
      <c r="J16" s="26">
        <f>I16+3</f>
        <v/>
      </c>
      <c r="K16" s="26">
        <f>(I16 + (7 - WEEKDAY(I16,1))) + 1</f>
        <v/>
      </c>
      <c r="L16" s="23">
        <f>F16*G16</f>
        <v/>
      </c>
      <c r="M16" s="1" t="inlineStr">
        <is>
          <t>Missing Assignment: W04 Assignment: Case Study Analysis</t>
        </is>
      </c>
      <c r="N16" s="1" t="inlineStr">
        <is>
          <t>Check in with student missing the W04 Assignment: Case Study Analysis. Encourage submission.</t>
        </is>
      </c>
    </row>
    <row r="17">
      <c r="A17" s="1" t="inlineStr">
        <is>
          <t>CSE370</t>
        </is>
      </c>
      <c r="B17" s="1" t="inlineStr">
        <is>
          <t>Grader-Issued 0</t>
        </is>
      </c>
      <c r="C17" s="1" t="inlineStr">
        <is>
          <t>W04 Assignment: Case Study Analysis</t>
        </is>
      </c>
      <c r="D17" s="23" t="n">
        <v>5</v>
      </c>
      <c r="E17" s="23" t="n">
        <v>4</v>
      </c>
      <c r="G17" s="24" t="n"/>
      <c r="H17" s="24" t="inlineStr">
        <is>
          <t>y</t>
        </is>
      </c>
      <c r="I17" s="26">
        <f>DATE(YEAR(Setup!$C$4),MONTH(Setup!$C$4),DAY(Setup!$C$4)+((D17-1)*7)+(E17-WEEKDAY(DATE(YEAR(Setup!$C$4),MONTH(Setup!$C$4),DAY(Setup!$C$4)),1)))</f>
        <v/>
      </c>
      <c r="J17" s="26">
        <f>I17+3</f>
        <v/>
      </c>
      <c r="K17" s="26">
        <f>(I17 + (7 - WEEKDAY(I17,1))) + 1</f>
        <v/>
      </c>
      <c r="L17" s="23">
        <f>F17*G17</f>
        <v/>
      </c>
      <c r="M17" s="1" t="inlineStr">
        <is>
          <t>Grader issued 0 on W04 Assignment: Case Study Analysis</t>
        </is>
      </c>
      <c r="N17" s="1" t="inlineStr">
        <is>
          <t>The student was given a Grader issued 0 on Case Study Analysis. Log into Canvas and see the grader comments. Work with the student to help resubmit.</t>
        </is>
      </c>
    </row>
    <row r="18">
      <c r="A18" s="1" t="inlineStr">
        <is>
          <t>CSE370</t>
        </is>
      </c>
      <c r="B18" s="1" t="inlineStr">
        <is>
          <t>Scheduled - Classwide</t>
        </is>
      </c>
      <c r="C18" s="1" t="inlineStr">
        <is>
          <t>Registration Reminder 1</t>
        </is>
      </c>
      <c r="D18" s="23" t="n">
        <v>5</v>
      </c>
      <c r="E18" s="23" t="n">
        <v>4</v>
      </c>
      <c r="G18" s="24" t="n"/>
      <c r="H18" s="24" t="inlineStr">
        <is>
          <t>y</t>
        </is>
      </c>
      <c r="I18" s="26">
        <f>DATE(YEAR(Setup!$C$4),MONTH(Setup!$C$4),DAY(Setup!$C$4)+((D18-1)*7)+(E18-WEEKDAY(DATE(YEAR(Setup!$C$4),MONTH(Setup!$C$4),DAY(Setup!$C$4)),1)))</f>
        <v/>
      </c>
      <c r="J18" s="26">
        <f>I18+3</f>
        <v/>
      </c>
      <c r="K18" s="26">
        <f>(I18 + (7 - WEEKDAY(I18,1))) + 1</f>
        <v/>
      </c>
      <c r="L18" s="23">
        <f>F18*G18</f>
        <v/>
      </c>
      <c r="M18" s="1" t="inlineStr">
        <is>
          <t>Registration Reminder 1</t>
        </is>
      </c>
      <c r="N18" s="43" t="inlineStr">
        <is>
          <t>Send a message to all students, reminding them that registration for the next block is now open and encouraging them to go and take action.</t>
        </is>
      </c>
    </row>
    <row r="19">
      <c r="A19" s="1" t="inlineStr">
        <is>
          <t>CSE370</t>
        </is>
      </c>
      <c r="B19" s="1" t="inlineStr">
        <is>
          <t>High Performance</t>
        </is>
      </c>
      <c r="C19" s="1" t="inlineStr">
        <is>
          <t>W04 Assignment: Case Study Analysis</t>
        </is>
      </c>
      <c r="D19" s="23" t="n">
        <v>5</v>
      </c>
      <c r="E19" s="23" t="n">
        <v>5</v>
      </c>
      <c r="F19" s="23" t="n">
        <v>100</v>
      </c>
      <c r="G19" s="24" t="n">
        <v>0.9</v>
      </c>
      <c r="H19" s="24" t="inlineStr">
        <is>
          <t>y</t>
        </is>
      </c>
      <c r="I19" s="26">
        <f>DATE(YEAR(Setup!$C$4),MONTH(Setup!$C$4),DAY(Setup!$C$4)+((D19-1)*7)+(E19-WEEKDAY(DATE(YEAR(Setup!$C$4),MONTH(Setup!$C$4),DAY(Setup!$C$4)),1)))</f>
        <v/>
      </c>
      <c r="J19" s="26">
        <f>I19+3</f>
        <v/>
      </c>
      <c r="K19" s="26">
        <f>(I19 + (7 - WEEKDAY(I19,1))) + 1</f>
        <v/>
      </c>
      <c r="L19" s="23">
        <f>F19*G19</f>
        <v/>
      </c>
      <c r="M19" s="1" t="inlineStr">
        <is>
          <t>High Performance: W04 Assignment: Case Study Analysis</t>
        </is>
      </c>
      <c r="N19" s="1" t="inlineStr">
        <is>
          <t>Provide Positive feedback for High Performance: W04 Assignment: Software Methodology Analysis</t>
        </is>
      </c>
    </row>
    <row r="20">
      <c r="A20" s="1" t="inlineStr">
        <is>
          <t>CSE370</t>
        </is>
      </c>
      <c r="B20" s="1" t="inlineStr">
        <is>
          <t>Low Performance</t>
        </is>
      </c>
      <c r="C20" s="1" t="inlineStr">
        <is>
          <t>W04 Assignment: Case Study Analysis</t>
        </is>
      </c>
      <c r="D20" s="23" t="n">
        <v>5</v>
      </c>
      <c r="E20" s="23" t="n">
        <v>5</v>
      </c>
      <c r="F20" s="23" t="n">
        <v>100</v>
      </c>
      <c r="G20" s="24" t="n">
        <v>0.7</v>
      </c>
      <c r="H20" s="24" t="inlineStr">
        <is>
          <t>y</t>
        </is>
      </c>
      <c r="I20" s="26">
        <f>DATE(YEAR(Setup!$C$4),MONTH(Setup!$C$4),DAY(Setup!$C$4)+((D20-1)*7)+(E20-WEEKDAY(DATE(YEAR(Setup!$C$4),MONTH(Setup!$C$4),DAY(Setup!$C$4)),1)))</f>
        <v/>
      </c>
      <c r="J20" s="26">
        <f>I20+3</f>
        <v/>
      </c>
      <c r="K20" s="26">
        <f>(I20 + (7 - WEEKDAY(I20,1))) + 1</f>
        <v/>
      </c>
      <c r="L20" s="23">
        <f>F20*G20</f>
        <v/>
      </c>
      <c r="M20" s="1" t="inlineStr">
        <is>
          <t>Low Performance: W04 Assignment: Case Study Analysis</t>
        </is>
      </c>
      <c r="N20" s="1" t="inlineStr">
        <is>
          <t>At-Risk. Student performed below 80% on W04 Assignment: Case Study Analysis. Check in to see how you can help.</t>
        </is>
      </c>
    </row>
    <row r="21">
      <c r="A21" s="1" t="inlineStr">
        <is>
          <t>CSE370</t>
        </is>
      </c>
      <c r="B21" s="1" t="inlineStr">
        <is>
          <t>Missing Assignment</t>
        </is>
      </c>
      <c r="C21" s="1" t="inlineStr">
        <is>
          <t>W05 Assignment: Case Study Analysis</t>
        </is>
      </c>
      <c r="D21" s="23" t="n">
        <v>6</v>
      </c>
      <c r="E21" s="23" t="n">
        <v>2</v>
      </c>
      <c r="F21" s="23" t="n">
        <v>100</v>
      </c>
      <c r="G21" s="24" t="n"/>
      <c r="H21" s="24" t="inlineStr">
        <is>
          <t>y</t>
        </is>
      </c>
      <c r="I21" s="26">
        <f>DATE(YEAR(Setup!$C$4),MONTH(Setup!$C$4),DAY(Setup!$C$4)+((D21-1)*7)+(E21-WEEKDAY(DATE(YEAR(Setup!$C$4),MONTH(Setup!$C$4),DAY(Setup!$C$4)),1)))</f>
        <v/>
      </c>
      <c r="J21" s="26">
        <f>I21+3</f>
        <v/>
      </c>
      <c r="K21" s="26">
        <f>(I21 + (7 - WEEKDAY(I21,1))) + 1</f>
        <v/>
      </c>
      <c r="L21" s="23">
        <f>F21*G21</f>
        <v/>
      </c>
      <c r="M21" s="1" t="inlineStr">
        <is>
          <t>Missing Assignment: W05 Assignment: Case Study Analysis</t>
        </is>
      </c>
      <c r="N21" s="1" t="inlineStr">
        <is>
          <t>Check in with student missing the W05 Assignment: Case Study Analysis. Encourage submission.</t>
        </is>
      </c>
    </row>
    <row r="22">
      <c r="A22" s="1" t="inlineStr">
        <is>
          <t>CSE370</t>
        </is>
      </c>
      <c r="B22" s="1" t="inlineStr">
        <is>
          <t>Grader-Issued 0</t>
        </is>
      </c>
      <c r="C22" s="1" t="inlineStr">
        <is>
          <t>W05 Assignment: Case Study Analysis</t>
        </is>
      </c>
      <c r="D22" s="23" t="n">
        <v>6</v>
      </c>
      <c r="E22" s="23" t="n">
        <v>4</v>
      </c>
      <c r="G22" s="24" t="n"/>
      <c r="H22" s="24" t="inlineStr">
        <is>
          <t>y</t>
        </is>
      </c>
      <c r="I22" s="26">
        <f>DATE(YEAR(Setup!$C$4),MONTH(Setup!$C$4),DAY(Setup!$C$4)+((D22-1)*7)+(E22-WEEKDAY(DATE(YEAR(Setup!$C$4),MONTH(Setup!$C$4),DAY(Setup!$C$4)),1)))</f>
        <v/>
      </c>
      <c r="J22" s="26">
        <f>I22+3</f>
        <v/>
      </c>
      <c r="K22" s="26">
        <f>(I22 + (7 - WEEKDAY(I22,1))) + 1</f>
        <v/>
      </c>
      <c r="L22" s="23">
        <f>F22*G22</f>
        <v/>
      </c>
      <c r="M22" s="1" t="inlineStr">
        <is>
          <t>Grader issued 0 on W05 Assignment: Case Study Analysis</t>
        </is>
      </c>
      <c r="N22" s="1" t="inlineStr">
        <is>
          <t>The student was given a Grader issued 0 on W05 Assignment: Case Study Analysis. Log into Canvas and see the grader comments. Work with the student to help resubmit.</t>
        </is>
      </c>
    </row>
    <row r="23">
      <c r="A23" s="1" t="inlineStr">
        <is>
          <t>CSE370</t>
        </is>
      </c>
      <c r="B23" s="1" t="inlineStr">
        <is>
          <t>High Performance</t>
        </is>
      </c>
      <c r="C23" s="1" t="inlineStr">
        <is>
          <t>W05 Assignment: Case Study Analysis</t>
        </is>
      </c>
      <c r="D23" s="23" t="n">
        <v>6</v>
      </c>
      <c r="E23" s="23" t="n">
        <v>5</v>
      </c>
      <c r="F23" s="23" t="n">
        <v>100</v>
      </c>
      <c r="G23" s="24" t="n">
        <v>0.9</v>
      </c>
      <c r="H23" s="24" t="inlineStr">
        <is>
          <t>y</t>
        </is>
      </c>
      <c r="I23" s="26">
        <f>DATE(YEAR(Setup!$C$4),MONTH(Setup!$C$4),DAY(Setup!$C$4)+((D23-1)*7)+(E23-WEEKDAY(DATE(YEAR(Setup!$C$4),MONTH(Setup!$C$4),DAY(Setup!$C$4)),1)))</f>
        <v/>
      </c>
      <c r="J23" s="26">
        <f>I23+3</f>
        <v/>
      </c>
      <c r="K23" s="26">
        <f>(I23 + (7 - WEEKDAY(I23,1))) + 1</f>
        <v/>
      </c>
      <c r="L23" s="23">
        <f>F23*G23</f>
        <v/>
      </c>
      <c r="M23" s="1" t="inlineStr">
        <is>
          <t>High Performance: W05 Assignment: Case Study Analysis</t>
        </is>
      </c>
      <c r="N23" s="1" t="inlineStr">
        <is>
          <t>Provide Positive feedback for High Performance: W05 Assignment: Software Methodology Analysis</t>
        </is>
      </c>
    </row>
    <row r="24">
      <c r="A24" s="1" t="inlineStr">
        <is>
          <t>CSE370</t>
        </is>
      </c>
      <c r="B24" s="1" t="inlineStr">
        <is>
          <t>Low Performance</t>
        </is>
      </c>
      <c r="C24" s="1" t="inlineStr">
        <is>
          <t>W05 Assignment: Case Study Analysis</t>
        </is>
      </c>
      <c r="D24" s="23" t="n">
        <v>6</v>
      </c>
      <c r="E24" s="23" t="n">
        <v>5</v>
      </c>
      <c r="F24" s="23" t="n">
        <v>100</v>
      </c>
      <c r="G24" s="24" t="n">
        <v>0.7</v>
      </c>
      <c r="H24" s="24" t="inlineStr">
        <is>
          <t>y</t>
        </is>
      </c>
      <c r="I24" s="26">
        <f>DATE(YEAR(Setup!$C$4),MONTH(Setup!$C$4),DAY(Setup!$C$4)+((D24-1)*7)+(E24-WEEKDAY(DATE(YEAR(Setup!$C$4),MONTH(Setup!$C$4),DAY(Setup!$C$4)),1)))</f>
        <v/>
      </c>
      <c r="J24" s="26">
        <f>I24+3</f>
        <v/>
      </c>
      <c r="K24" s="26">
        <f>(I24 + (7 - WEEKDAY(I24,1))) + 1</f>
        <v/>
      </c>
      <c r="L24" s="23">
        <f>F24*G24</f>
        <v/>
      </c>
      <c r="M24" s="1" t="inlineStr">
        <is>
          <t>Low Performance: W05 Assignment: Case Study Analysis</t>
        </is>
      </c>
      <c r="N24" s="1" t="inlineStr">
        <is>
          <t>At-Risk. Student performed below 80% on W05 Assignment: Case Study Analysis. Check in to see how you can help.</t>
        </is>
      </c>
    </row>
    <row r="25">
      <c r="A25" s="1" t="inlineStr">
        <is>
          <t>CSE370</t>
        </is>
      </c>
      <c r="B25" s="1" t="inlineStr">
        <is>
          <t>Scheduled - Classwide</t>
        </is>
      </c>
      <c r="C25" s="1" t="inlineStr">
        <is>
          <t>Registration Reminder 2</t>
        </is>
      </c>
      <c r="D25" s="23" t="n">
        <v>7</v>
      </c>
      <c r="E25" s="23" t="n">
        <v>1</v>
      </c>
      <c r="G25" s="24" t="n"/>
      <c r="H25" s="24" t="inlineStr">
        <is>
          <t>y</t>
        </is>
      </c>
      <c r="I25" s="26">
        <f>DATE(YEAR(Setup!$C$4),MONTH(Setup!$C$4),DAY(Setup!$C$4)+((D25-1)*7)+(E25-WEEKDAY(DATE(YEAR(Setup!$C$4),MONTH(Setup!$C$4),DAY(Setup!$C$4)),1)))</f>
        <v/>
      </c>
      <c r="J25" s="26">
        <f>I25+3</f>
        <v/>
      </c>
      <c r="K25" s="26">
        <f>(I25 + (7 - WEEKDAY(I25,1))) + 1</f>
        <v/>
      </c>
      <c r="L25" s="23">
        <f>F25*G25</f>
        <v/>
      </c>
      <c r="M25" s="1" t="inlineStr">
        <is>
          <t>Registration Reminder 2</t>
        </is>
      </c>
      <c r="N25" s="43" t="inlineStr">
        <is>
          <t xml:space="preserve">Send a message to all students, reminding them that registration for the next block is still open, but will be closing soon. Encourage them to go in and register as soon as possible. </t>
        </is>
      </c>
    </row>
    <row r="26">
      <c r="A26" s="1" t="inlineStr">
        <is>
          <t>CSE370</t>
        </is>
      </c>
      <c r="B26" s="1" t="inlineStr">
        <is>
          <t>Missing Assignment</t>
        </is>
      </c>
      <c r="C26" s="1" t="inlineStr">
        <is>
          <t>W06 Assignment: Case Study Analysis</t>
        </is>
      </c>
      <c r="D26" s="23" t="n">
        <v>7</v>
      </c>
      <c r="E26" s="23" t="n">
        <v>2</v>
      </c>
      <c r="F26" s="23" t="n">
        <v>100</v>
      </c>
      <c r="G26" s="24" t="n"/>
      <c r="H26" s="24" t="inlineStr">
        <is>
          <t>y</t>
        </is>
      </c>
      <c r="I26" s="26">
        <f>DATE(YEAR(Setup!$C$4),MONTH(Setup!$C$4),DAY(Setup!$C$4)+((D26-1)*7)+(E26-WEEKDAY(DATE(YEAR(Setup!$C$4),MONTH(Setup!$C$4),DAY(Setup!$C$4)),1)))</f>
        <v/>
      </c>
      <c r="J26" s="26">
        <f>I26+3</f>
        <v/>
      </c>
      <c r="K26" s="26">
        <f>(I26 + (7 - WEEKDAY(I26,1))) + 1</f>
        <v/>
      </c>
      <c r="L26" s="23">
        <f>F26*G26</f>
        <v/>
      </c>
      <c r="M26" s="1" t="inlineStr">
        <is>
          <t>Missing Assignment: W06 Assignment: Case Study Analysis</t>
        </is>
      </c>
      <c r="N26" s="1" t="inlineStr">
        <is>
          <t>Check in with student missing the W06 Assignment: Case Study Analysis. Encourage submission.</t>
        </is>
      </c>
    </row>
    <row r="27">
      <c r="A27" s="1" t="inlineStr">
        <is>
          <t>CSE370</t>
        </is>
      </c>
      <c r="B27" s="1" t="inlineStr">
        <is>
          <t>Scheduled - Classwide</t>
        </is>
      </c>
      <c r="C27" s="1" t="inlineStr">
        <is>
          <t>End of Block Reminder</t>
        </is>
      </c>
      <c r="D27" s="23" t="n">
        <v>7</v>
      </c>
      <c r="E27" s="23" t="n">
        <v>2</v>
      </c>
      <c r="G27" s="24" t="n"/>
      <c r="H27" s="24" t="inlineStr">
        <is>
          <t>y</t>
        </is>
      </c>
      <c r="I27" s="26">
        <f>DATE(YEAR(Setup!$C$4),MONTH(Setup!$C$4),DAY(Setup!$C$4)+((D27-1)*7)+(E27-WEEKDAY(DATE(YEAR(Setup!$C$4),MONTH(Setup!$C$4),DAY(Setup!$C$4)),1)))</f>
        <v/>
      </c>
      <c r="J27" s="26">
        <f>I27+3</f>
        <v/>
      </c>
      <c r="K27" s="26">
        <f>(I27 + (7 - WEEKDAY(I27,1))) + 1</f>
        <v/>
      </c>
      <c r="L27" s="23">
        <f>F27*G27</f>
        <v/>
      </c>
      <c r="M27" s="1" t="inlineStr">
        <is>
          <t>End of Block Reminder</t>
        </is>
      </c>
      <c r="N27" s="1" t="inlineStr">
        <is>
          <t>Remind Students the course will be closing, submit assignments by deadline, complete End-of-Course Evaluation</t>
        </is>
      </c>
    </row>
    <row r="28">
      <c r="A28" s="1" t="inlineStr">
        <is>
          <t>CSE370</t>
        </is>
      </c>
      <c r="B28" s="1" t="inlineStr">
        <is>
          <t>Grader-Issued 0</t>
        </is>
      </c>
      <c r="C28" s="1" t="inlineStr">
        <is>
          <t>W06 Assignment: Case Study Analysis</t>
        </is>
      </c>
      <c r="D28" s="23" t="n">
        <v>7</v>
      </c>
      <c r="E28" s="23" t="n">
        <v>3</v>
      </c>
      <c r="G28" s="24" t="n"/>
      <c r="H28" s="24" t="inlineStr">
        <is>
          <t>y</t>
        </is>
      </c>
      <c r="I28" s="26">
        <f>DATE(YEAR(Setup!$C$4),MONTH(Setup!$C$4),DAY(Setup!$C$4)+((D28-1)*7)+(E28-WEEKDAY(DATE(YEAR(Setup!$C$4),MONTH(Setup!$C$4),DAY(Setup!$C$4)),1)))</f>
        <v/>
      </c>
      <c r="J28" s="26">
        <f>I28+3</f>
        <v/>
      </c>
      <c r="K28" s="26">
        <f>(I28 + (7 - WEEKDAY(I28,1))) + 1</f>
        <v/>
      </c>
      <c r="L28" s="23">
        <f>F28*G28</f>
        <v/>
      </c>
      <c r="M28" s="1" t="inlineStr">
        <is>
          <t>Grader issued 0 on W06 Assignment: Case Study Analysis</t>
        </is>
      </c>
      <c r="N28" s="1" t="inlineStr">
        <is>
          <t>The student was given a Grader issued 0 on W06 Assignment: Case Study Analysis. Log into Canvas and see the grader comments. Work with the student to help resubmit.</t>
        </is>
      </c>
    </row>
    <row r="29">
      <c r="A29" s="1" t="inlineStr">
        <is>
          <t>CSE370</t>
        </is>
      </c>
      <c r="B29" s="1" t="inlineStr">
        <is>
          <t>High Performance</t>
        </is>
      </c>
      <c r="C29" s="1" t="inlineStr">
        <is>
          <t>W06 Assignment: Case Study Analysis</t>
        </is>
      </c>
      <c r="D29" s="23" t="n">
        <v>7</v>
      </c>
      <c r="E29" s="23" t="n">
        <v>3</v>
      </c>
      <c r="F29" s="23" t="n">
        <v>100</v>
      </c>
      <c r="G29" s="24" t="n">
        <v>0.9</v>
      </c>
      <c r="H29" s="24" t="inlineStr">
        <is>
          <t>y</t>
        </is>
      </c>
      <c r="I29" s="26">
        <f>DATE(YEAR(Setup!$C$4),MONTH(Setup!$C$4),DAY(Setup!$C$4)+((D29-1)*7)+(E29-WEEKDAY(DATE(YEAR(Setup!$C$4),MONTH(Setup!$C$4),DAY(Setup!$C$4)),1)))</f>
        <v/>
      </c>
      <c r="J29" s="26">
        <f>I29+3</f>
        <v/>
      </c>
      <c r="K29" s="26">
        <f>(I29 + (7 - WEEKDAY(I29,1))) + 1</f>
        <v/>
      </c>
      <c r="L29" s="23">
        <f>F29*G29</f>
        <v/>
      </c>
      <c r="M29" s="1" t="inlineStr">
        <is>
          <t>High Performance: W06 Assignment: Case Study Analysis</t>
        </is>
      </c>
      <c r="N29" s="1" t="inlineStr">
        <is>
          <t>Provide Positive feedback for High Performance: W06 Assignment: Software Methodology Analysis</t>
        </is>
      </c>
    </row>
    <row r="30">
      <c r="A30" s="1" t="inlineStr">
        <is>
          <t>CSE370</t>
        </is>
      </c>
      <c r="B30" s="1" t="inlineStr">
        <is>
          <t>Low Performance</t>
        </is>
      </c>
      <c r="C30" s="1" t="inlineStr">
        <is>
          <t>W06 Assignment: Case Study Analysis</t>
        </is>
      </c>
      <c r="D30" s="23" t="n">
        <v>7</v>
      </c>
      <c r="E30" s="23" t="n">
        <v>3</v>
      </c>
      <c r="F30" s="23" t="n">
        <v>100</v>
      </c>
      <c r="G30" s="24" t="n">
        <v>0.7</v>
      </c>
      <c r="H30" s="24" t="inlineStr">
        <is>
          <t>y</t>
        </is>
      </c>
      <c r="I30" s="26">
        <f>DATE(YEAR(Setup!$C$4),MONTH(Setup!$C$4),DAY(Setup!$C$4)+((D30-1)*7)+(E30-WEEKDAY(DATE(YEAR(Setup!$C$4),MONTH(Setup!$C$4),DAY(Setup!$C$4)),1)))</f>
        <v/>
      </c>
      <c r="J30" s="26">
        <f>I30+3</f>
        <v/>
      </c>
      <c r="K30" s="26">
        <f>(I30 + (7 - WEEKDAY(I30,1))) + 1</f>
        <v/>
      </c>
      <c r="L30" s="23">
        <f>F30*G30</f>
        <v/>
      </c>
      <c r="M30" s="1" t="inlineStr">
        <is>
          <t>Low Performance: W06 Assignment: Case Study Analysis</t>
        </is>
      </c>
      <c r="N30" s="1" t="inlineStr">
        <is>
          <t>At-Risk. Student performed below 80% on W06 Assignment: Case Study Analysis. Check in to see how you can help.</t>
        </is>
      </c>
    </row>
    <row r="31">
      <c r="G31" s="24" t="n"/>
      <c r="H31" s="24" t="n"/>
      <c r="I31" s="26" t="n"/>
      <c r="J31" s="26" t="n"/>
      <c r="K31" s="26" t="n"/>
    </row>
    <row r="32">
      <c r="G32" s="24" t="n"/>
      <c r="H32" s="24" t="n"/>
      <c r="I32" s="26" t="n"/>
      <c r="J32" s="26" t="n"/>
      <c r="K32" s="26" t="n"/>
    </row>
    <row r="33">
      <c r="G33" s="24" t="n"/>
      <c r="H33" s="24" t="n"/>
      <c r="I33" s="26" t="n"/>
      <c r="J33" s="26" t="n"/>
      <c r="K33" s="26" t="n"/>
    </row>
    <row r="34">
      <c r="B34" s="3" t="n"/>
      <c r="G34" s="24" t="n"/>
      <c r="H34" s="24" t="n"/>
      <c r="I34" s="26" t="n"/>
      <c r="J34" s="26" t="n"/>
      <c r="K34" s="26" t="n"/>
    </row>
    <row r="35">
      <c r="G35" s="24" t="n"/>
      <c r="H35" s="24" t="n"/>
      <c r="I35" s="26" t="n"/>
      <c r="J35" s="26" t="n"/>
      <c r="K35" s="26" t="n"/>
    </row>
    <row r="36">
      <c r="G36" s="24" t="n"/>
      <c r="H36" s="24" t="n"/>
      <c r="I36" s="26" t="n"/>
      <c r="J36" s="26" t="n"/>
      <c r="K36" s="26" t="n"/>
    </row>
    <row r="37">
      <c r="G37" s="24" t="n"/>
      <c r="H37" s="24" t="n"/>
      <c r="I37" s="26" t="n"/>
      <c r="J37" s="26" t="n"/>
      <c r="K37" s="26" t="n"/>
    </row>
    <row r="38">
      <c r="G38" s="24" t="n"/>
      <c r="H38" s="24" t="n"/>
      <c r="I38" s="26" t="n"/>
      <c r="J38" s="26" t="n"/>
      <c r="K38" s="26" t="n"/>
    </row>
    <row r="39">
      <c r="G39" s="24" t="n"/>
      <c r="H39" s="24" t="n"/>
      <c r="I39" s="26" t="n"/>
      <c r="J39" s="26" t="n"/>
      <c r="K39" s="26" t="n"/>
    </row>
    <row r="40">
      <c r="G40" s="24" t="n"/>
      <c r="H40" s="24" t="n"/>
      <c r="I40" s="26" t="n"/>
      <c r="J40" s="26" t="n"/>
      <c r="K40" s="26" t="n"/>
    </row>
    <row r="41">
      <c r="G41" s="24" t="n"/>
      <c r="H41" s="24" t="n"/>
      <c r="I41" s="26" t="n"/>
      <c r="J41" s="26" t="n"/>
      <c r="K41" s="26" t="n"/>
    </row>
    <row r="42">
      <c r="G42" s="24" t="n"/>
      <c r="H42" s="24" t="n"/>
      <c r="I42" s="26" t="n"/>
      <c r="J42" s="26" t="n"/>
      <c r="K42" s="26" t="n"/>
    </row>
    <row r="43">
      <c r="G43" s="24" t="n"/>
      <c r="H43" s="24" t="n"/>
      <c r="I43" s="26" t="n"/>
      <c r="J43" s="26" t="n"/>
      <c r="K43" s="26" t="n"/>
    </row>
    <row r="44">
      <c r="G44" s="24" t="n"/>
      <c r="H44" s="24" t="n"/>
      <c r="I44" s="26" t="n"/>
      <c r="J44" s="26" t="n"/>
      <c r="K44" s="26" t="n"/>
    </row>
    <row r="45">
      <c r="G45" s="24" t="n"/>
      <c r="H45" s="24" t="n"/>
      <c r="I45" s="26" t="n"/>
      <c r="J45" s="26" t="n"/>
      <c r="K45" s="26" t="n"/>
    </row>
    <row r="46">
      <c r="G46" s="24" t="n"/>
      <c r="H46" s="24" t="n"/>
      <c r="I46" s="26" t="n"/>
      <c r="J46" s="26" t="n"/>
      <c r="K46" s="26" t="n"/>
    </row>
    <row r="47">
      <c r="G47" s="24" t="n"/>
      <c r="H47" s="24" t="n"/>
      <c r="I47" s="26" t="n"/>
      <c r="J47" s="26" t="n"/>
      <c r="K47" s="26" t="n"/>
    </row>
    <row r="48">
      <c r="G48" s="24" t="n"/>
      <c r="H48" s="24" t="n"/>
      <c r="I48" s="26" t="n"/>
      <c r="J48" s="26" t="n"/>
      <c r="K48" s="26" t="n"/>
    </row>
    <row r="49">
      <c r="G49" s="24" t="n"/>
      <c r="H49" s="24" t="n"/>
      <c r="I49" s="26" t="n"/>
      <c r="J49" s="26" t="n"/>
      <c r="K49" s="26" t="n"/>
    </row>
    <row r="50">
      <c r="G50" s="24" t="n"/>
      <c r="H50" s="24" t="n"/>
      <c r="I50" s="26" t="n"/>
      <c r="J50" s="26" t="n"/>
      <c r="K50" s="26" t="n"/>
    </row>
    <row r="51">
      <c r="G51" s="24" t="n"/>
      <c r="H51" s="24" t="n"/>
      <c r="I51" s="26" t="n"/>
      <c r="J51" s="26" t="n"/>
      <c r="K51" s="26" t="n"/>
    </row>
    <row r="52">
      <c r="G52" s="24" t="n"/>
      <c r="H52" s="24" t="n"/>
      <c r="I52" s="26" t="n"/>
      <c r="J52" s="26" t="n"/>
      <c r="K52" s="26" t="n"/>
    </row>
    <row r="53">
      <c r="G53" s="24" t="n"/>
      <c r="H53" s="24" t="n"/>
      <c r="I53" s="26" t="n"/>
      <c r="J53" s="26" t="n"/>
      <c r="K53" s="26" t="n"/>
    </row>
    <row r="54">
      <c r="G54" s="24" t="n"/>
      <c r="H54" s="24" t="n"/>
      <c r="I54" s="26" t="n"/>
      <c r="J54" s="26" t="n"/>
      <c r="K54" s="26" t="n"/>
    </row>
    <row r="55">
      <c r="G55" s="24" t="n"/>
      <c r="H55" s="24" t="n"/>
      <c r="I55" s="26" t="n"/>
      <c r="J55" s="26" t="n"/>
      <c r="K55" s="26" t="n"/>
    </row>
    <row r="56">
      <c r="G56" s="24" t="n"/>
      <c r="H56" s="24" t="n"/>
      <c r="I56" s="26" t="n"/>
      <c r="J56" s="26" t="n"/>
      <c r="K56" s="26" t="n"/>
    </row>
    <row r="57">
      <c r="G57" s="24" t="n"/>
      <c r="H57" s="24" t="n"/>
      <c r="I57" s="26" t="n"/>
      <c r="J57" s="26" t="n"/>
      <c r="K57" s="26" t="n"/>
    </row>
    <row r="58">
      <c r="G58" s="24" t="n"/>
      <c r="H58" s="24" t="n"/>
      <c r="I58" s="26" t="n"/>
      <c r="J58" s="26" t="n"/>
      <c r="K58" s="26" t="n"/>
    </row>
    <row r="59">
      <c r="G59" s="24" t="n"/>
      <c r="H59" s="24" t="n"/>
      <c r="I59" s="26" t="n"/>
      <c r="J59" s="26" t="n"/>
      <c r="K59" s="26" t="n"/>
    </row>
    <row r="60">
      <c r="G60" s="24" t="n"/>
      <c r="H60" s="24" t="n"/>
      <c r="I60" s="26" t="n"/>
      <c r="J60" s="26" t="n"/>
      <c r="K60" s="26" t="n"/>
    </row>
    <row r="61">
      <c r="G61" s="24" t="n"/>
      <c r="H61" s="24" t="n"/>
      <c r="I61" s="26" t="n"/>
      <c r="J61" s="26" t="n"/>
      <c r="K61" s="26" t="n"/>
    </row>
    <row r="62">
      <c r="G62" s="24" t="n"/>
      <c r="H62" s="24" t="n"/>
      <c r="I62" s="26" t="n"/>
      <c r="J62" s="26" t="n"/>
      <c r="K62" s="26" t="n"/>
    </row>
    <row r="63">
      <c r="G63" s="24" t="n"/>
      <c r="H63" s="24" t="n"/>
      <c r="I63" s="26" t="n"/>
      <c r="J63" s="26" t="n"/>
      <c r="K63" s="26" t="n"/>
    </row>
    <row r="64">
      <c r="G64" s="24" t="n"/>
      <c r="H64" s="24" t="n"/>
      <c r="I64" s="26" t="n"/>
      <c r="J64" s="26" t="n"/>
      <c r="K64" s="26" t="n"/>
    </row>
    <row r="65">
      <c r="G65" s="24" t="n"/>
      <c r="H65" s="24" t="n"/>
      <c r="I65" s="26" t="n"/>
      <c r="J65" s="26" t="n"/>
      <c r="K65" s="26" t="n"/>
    </row>
    <row r="66">
      <c r="G66" s="24" t="n"/>
      <c r="H66" s="24" t="n"/>
      <c r="I66" s="26" t="n"/>
      <c r="J66" s="26" t="n"/>
      <c r="K66" s="26" t="n"/>
    </row>
    <row r="67">
      <c r="G67" s="24" t="n"/>
      <c r="H67" s="24" t="n"/>
      <c r="I67" s="26" t="n"/>
      <c r="J67" s="26" t="n"/>
      <c r="K67" s="26" t="n"/>
    </row>
    <row r="68">
      <c r="G68" s="24" t="n"/>
      <c r="H68" s="24" t="n"/>
      <c r="I68" s="26" t="n"/>
      <c r="J68" s="26" t="n"/>
      <c r="K68" s="26" t="n"/>
    </row>
    <row r="69">
      <c r="G69" s="24" t="n"/>
      <c r="H69" s="24" t="n"/>
      <c r="I69" s="26" t="n"/>
      <c r="J69" s="26" t="n"/>
      <c r="K69" s="26" t="n"/>
    </row>
    <row r="70">
      <c r="G70" s="24" t="n"/>
      <c r="H70" s="24" t="n"/>
      <c r="I70" s="26" t="n"/>
      <c r="J70" s="26" t="n"/>
      <c r="K70" s="26" t="n"/>
    </row>
    <row r="71">
      <c r="G71" s="24" t="n"/>
      <c r="H71" s="24" t="n"/>
      <c r="I71" s="26" t="n"/>
      <c r="J71" s="26" t="n"/>
      <c r="K71" s="26" t="n"/>
    </row>
    <row r="72">
      <c r="G72" s="24" t="n"/>
      <c r="H72" s="24" t="n"/>
      <c r="I72" s="26" t="n"/>
      <c r="J72" s="26" t="n"/>
      <c r="K72" s="26" t="n"/>
    </row>
    <row r="73">
      <c r="G73" s="24" t="n"/>
      <c r="H73" s="24" t="n"/>
      <c r="I73" s="26" t="n"/>
      <c r="J73" s="26" t="n"/>
      <c r="K73" s="26" t="n"/>
    </row>
    <row r="74">
      <c r="G74" s="24" t="n"/>
      <c r="H74" s="24" t="n"/>
      <c r="I74" s="26" t="n"/>
      <c r="J74" s="26" t="n"/>
      <c r="K74" s="26" t="n"/>
    </row>
    <row r="75">
      <c r="G75" s="24" t="n"/>
      <c r="H75" s="24" t="n"/>
      <c r="I75" s="26" t="n"/>
      <c r="J75" s="26" t="n"/>
      <c r="K75" s="26" t="n"/>
    </row>
    <row r="76">
      <c r="G76" s="24" t="n"/>
      <c r="H76" s="24" t="n"/>
      <c r="I76" s="26" t="n"/>
      <c r="J76" s="26" t="n"/>
      <c r="K76" s="26" t="n"/>
    </row>
    <row r="77">
      <c r="G77" s="24" t="n"/>
      <c r="H77" s="24" t="n"/>
      <c r="I77" s="26" t="n"/>
      <c r="J77" s="26" t="n"/>
      <c r="K77" s="26" t="n"/>
    </row>
    <row r="78">
      <c r="G78" s="24" t="n"/>
      <c r="H78" s="24" t="n"/>
      <c r="I78" s="26" t="n"/>
      <c r="J78" s="26" t="n"/>
      <c r="K78" s="26" t="n"/>
    </row>
    <row r="79">
      <c r="G79" s="24" t="n"/>
      <c r="H79" s="24" t="n"/>
      <c r="I79" s="26" t="n"/>
      <c r="J79" s="26" t="n"/>
      <c r="K79" s="26" t="n"/>
    </row>
    <row r="80">
      <c r="G80" s="24" t="n"/>
      <c r="H80" s="24" t="n"/>
      <c r="I80" s="26" t="n"/>
      <c r="J80" s="26" t="n"/>
      <c r="K80" s="26" t="n"/>
    </row>
  </sheetData>
  <sheetProtection selectLockedCells="1" selectUnlockedCells="0" algorithmName="SHA-512" sheet="1" objects="0" insertRows="0" insertHyperlinks="1" autoFilter="0" scenarios="0" formatColumns="1" deleteColumns="1" insertColumns="1" pivotTables="1" deleteRows="0" formatCells="0" saltValue="q8MNboUf8nYc1lgkw9i3Lw==" formatRows="0" sort="0" spinCount="100000" hashValue="F8UuJOmA8gIa8PZszj1D6V1ezp8D87xytAlkyrnbjKCIXOrQzdESNx6V/S2FiN+D0USxsTeOg5cx4veWJF3xBA=="/>
  <autoFilter ref="A1:N80"/>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5.xml><?xml version="1.0" encoding="utf-8"?>
<worksheet xmlns="http://schemas.openxmlformats.org/spreadsheetml/2006/main">
  <sheetPr codeName="Sheet13">
    <tabColor rgb="FF0070C0"/>
    <outlinePr summaryBelow="1" summaryRight="1"/>
    <pageSetUpPr/>
  </sheetPr>
  <dimension ref="A1:N84"/>
  <sheetViews>
    <sheetView tabSelected="1" workbookViewId="0">
      <pane xSplit="3" topLeftCell="G6" activePane="topRight" state="frozen"/>
      <selection pane="topRight" activeCell="M32" sqref="M32"/>
    </sheetView>
  </sheetViews>
  <sheetFormatPr baseColWidth="8" defaultColWidth="8.85546875" defaultRowHeight="15"/>
  <cols>
    <col width="13" customWidth="1" style="1" min="1" max="1"/>
    <col width="24.28515625" customWidth="1" style="1" min="2" max="2"/>
    <col width="31.85546875" customWidth="1" style="1" min="3" max="3"/>
    <col width="14.42578125" customWidth="1" style="1" min="4" max="4"/>
    <col width="14" customWidth="1" style="1" min="5" max="6"/>
    <col width="14.140625" customWidth="1" style="1" min="7" max="7"/>
    <col hidden="1" width="14.140625" customWidth="1" style="1"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CSE499</t>
        </is>
      </c>
      <c r="B2" s="1" t="inlineStr">
        <is>
          <t>New Student Added</t>
        </is>
      </c>
      <c r="D2" s="23" t="n">
        <v>0</v>
      </c>
      <c r="E2" s="23" t="n">
        <v>2</v>
      </c>
      <c r="F2" s="23" t="n"/>
      <c r="G2" s="24" t="n"/>
      <c r="H2" s="24" t="inlineStr">
        <is>
          <t>y</t>
        </is>
      </c>
      <c r="I2" s="26">
        <f>DATE(YEAR(Setup!$C$4),MONTH(Setup!$C$4),DAY(Setup!$C$4)+((D2-1)*7)+(E2-WEEKDAY(DATE(YEAR(Setup!$C$4),MONTH(Setup!$C$4),DAY(Setup!$C$4)),1)))</f>
        <v/>
      </c>
      <c r="J2" s="26">
        <f>I2+3</f>
        <v/>
      </c>
      <c r="K2" s="26">
        <f>(I2 + (7 - WEEKDAY(I2,1))) + 1</f>
        <v/>
      </c>
      <c r="L2" s="23">
        <f>F2*G2</f>
        <v/>
      </c>
      <c r="M2" s="1" t="inlineStr">
        <is>
          <t>Welcome Email</t>
        </is>
      </c>
      <c r="N2" s="1" t="inlineStr">
        <is>
          <t>Welcome students to your course</t>
        </is>
      </c>
    </row>
    <row r="3">
      <c r="A3" s="1" t="inlineStr">
        <is>
          <t>CSE499</t>
        </is>
      </c>
      <c r="B3" s="1" t="inlineStr">
        <is>
          <t>Scheduled - Not Logged In</t>
        </is>
      </c>
      <c r="C3" s="1" t="inlineStr">
        <is>
          <t>Not Logged In</t>
        </is>
      </c>
      <c r="D3" s="23" t="n">
        <v>1</v>
      </c>
      <c r="E3" s="23" t="n">
        <v>4</v>
      </c>
      <c r="F3" s="23" t="n"/>
      <c r="G3" s="24" t="n"/>
      <c r="H3" s="24"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CSE499</t>
        </is>
      </c>
      <c r="B4" s="1" t="inlineStr">
        <is>
          <t>Missing Assignment</t>
        </is>
      </c>
      <c r="C4" s="45" t="inlineStr">
        <is>
          <t>W01 Activity: Project selection and Team Creation</t>
        </is>
      </c>
      <c r="D4" s="23" t="n">
        <v>2</v>
      </c>
      <c r="E4" s="23" t="n">
        <v>2</v>
      </c>
      <c r="F4" s="23" t="n"/>
      <c r="G4" s="24" t="inlineStr">
        <is>
          <t xml:space="preserve"> </t>
        </is>
      </c>
      <c r="H4" s="24" t="inlineStr">
        <is>
          <t>y</t>
        </is>
      </c>
      <c r="I4" s="26">
        <f>DATE(YEAR(Setup!$C$4),MONTH(Setup!$C$4),DAY(Setup!$C$4)+((D4-1)*7)+(E4-WEEKDAY(DATE(YEAR(Setup!$C$4),MONTH(Setup!$C$4),DAY(Setup!$C$4)),1)))</f>
        <v/>
      </c>
      <c r="J4" s="26">
        <f>I4+3</f>
        <v/>
      </c>
      <c r="K4" s="26">
        <f>(I4 + (7 - WEEKDAY(I4,1))) + 1</f>
        <v/>
      </c>
      <c r="L4" s="23">
        <f>F4*G4</f>
        <v/>
      </c>
      <c r="M4" s="1" t="inlineStr">
        <is>
          <t>Missing Assignment: W01 Activity: Project selection and Team Creation</t>
        </is>
      </c>
      <c r="N4" s="1" t="inlineStr">
        <is>
          <t>Check in with student missing W01 Activity: Project selection and Team Creation</t>
        </is>
      </c>
    </row>
    <row r="5">
      <c r="A5" s="1" t="inlineStr">
        <is>
          <t>CSE499</t>
        </is>
      </c>
      <c r="B5" s="1" t="inlineStr">
        <is>
          <t>Grader-Issued 0</t>
        </is>
      </c>
      <c r="C5" s="45" t="inlineStr">
        <is>
          <t>W01 Activity: Project selection and Team Creation</t>
        </is>
      </c>
      <c r="D5" s="23" t="n">
        <v>2</v>
      </c>
      <c r="E5" s="23" t="n">
        <v>4</v>
      </c>
      <c r="F5" s="23" t="n">
        <v>10</v>
      </c>
      <c r="G5" s="24" t="n"/>
      <c r="H5" s="24" t="inlineStr">
        <is>
          <t>y</t>
        </is>
      </c>
      <c r="I5" s="26">
        <f>DATE(YEAR(Setup!$C$4),MONTH(Setup!$C$4),DAY(Setup!$C$4)+((D5-1)*7)+(E5-WEEKDAY(DATE(YEAR(Setup!$C$4),MONTH(Setup!$C$4),DAY(Setup!$C$4)),1)))</f>
        <v/>
      </c>
      <c r="J5" s="26">
        <f>I5+3</f>
        <v/>
      </c>
      <c r="K5" s="26">
        <f>(I5 + (7 - WEEKDAY(I5,1))) + 1</f>
        <v/>
      </c>
      <c r="L5" s="23">
        <f>F5*G5</f>
        <v/>
      </c>
      <c r="M5" s="1" t="inlineStr">
        <is>
          <t>The student was given a Grader issued 0 on W01 Activity: Project selection and Team Creation</t>
        </is>
      </c>
      <c r="N5" s="44" t="inlineStr">
        <is>
          <t>Grader issued 0 for W01 Activity: Project selection and Team Creation. Log into Canvas and see the grader comments. Work with the student to help resubmit.</t>
        </is>
      </c>
    </row>
    <row r="6">
      <c r="A6" s="1" t="inlineStr">
        <is>
          <t>CSE499</t>
        </is>
      </c>
      <c r="B6" s="1" t="inlineStr">
        <is>
          <t>High Performance</t>
        </is>
      </c>
      <c r="C6" s="45" t="inlineStr">
        <is>
          <t>W01 Activity: Project selection and Team Creation</t>
        </is>
      </c>
      <c r="D6" s="23" t="n">
        <v>2</v>
      </c>
      <c r="E6" s="23" t="n">
        <v>5</v>
      </c>
      <c r="F6" s="23" t="n">
        <v>10</v>
      </c>
      <c r="G6" s="24" t="n">
        <v>0.9</v>
      </c>
      <c r="H6" s="24" t="inlineStr">
        <is>
          <t>y</t>
        </is>
      </c>
      <c r="I6" s="26">
        <f>DATE(YEAR(Setup!$C$4),MONTH(Setup!$C$4),DAY(Setup!$C$4)+((D6-1)*7)+(E6-WEEKDAY(DATE(YEAR(Setup!$C$4),MONTH(Setup!$C$4),DAY(Setup!$C$4)),1)))</f>
        <v/>
      </c>
      <c r="J6" s="26">
        <f>I6+3</f>
        <v/>
      </c>
      <c r="K6" s="26">
        <f>(I6 + (7 - WEEKDAY(I6,1))) + 1</f>
        <v/>
      </c>
      <c r="L6" s="23">
        <f>F6*G6</f>
        <v/>
      </c>
      <c r="M6" s="1" t="inlineStr">
        <is>
          <t>High Performance: W01 Activity: Project selection and Team Creation</t>
        </is>
      </c>
      <c r="N6" s="1" t="inlineStr">
        <is>
          <t>Provide Positive Feedback on W01 Activity: Project selection and Team Creation</t>
        </is>
      </c>
    </row>
    <row r="7">
      <c r="A7" s="1" t="inlineStr">
        <is>
          <t>CSE499</t>
        </is>
      </c>
      <c r="B7" s="1" t="inlineStr">
        <is>
          <t>Low Performance</t>
        </is>
      </c>
      <c r="C7" s="45" t="inlineStr">
        <is>
          <t>W01 Activity: Project selection and Team Creation</t>
        </is>
      </c>
      <c r="D7" s="23" t="n">
        <v>2</v>
      </c>
      <c r="E7" s="23" t="n">
        <v>5</v>
      </c>
      <c r="F7" s="23" t="n">
        <v>10</v>
      </c>
      <c r="G7" s="24" t="n">
        <v>0.7</v>
      </c>
      <c r="H7" s="24" t="inlineStr">
        <is>
          <t>y</t>
        </is>
      </c>
      <c r="I7" s="26">
        <f>DATE(YEAR(Setup!$C$4),MONTH(Setup!$C$4),DAY(Setup!$C$4)+((D7-1)*7)+(E7-WEEKDAY(DATE(YEAR(Setup!$C$4),MONTH(Setup!$C$4),DAY(Setup!$C$4)),1)))</f>
        <v/>
      </c>
      <c r="J7" s="26">
        <f>I7+3</f>
        <v/>
      </c>
      <c r="K7" s="26">
        <f>(I7 + (7 - WEEKDAY(I7,1))) + 1</f>
        <v/>
      </c>
      <c r="L7" s="23">
        <f>F7*G7</f>
        <v/>
      </c>
      <c r="M7" s="1" t="inlineStr">
        <is>
          <t>Low Performance: W01 Activity: Project selection and Team Creation</t>
        </is>
      </c>
      <c r="N7" s="1" t="inlineStr">
        <is>
          <t xml:space="preserve">At Risk. Student scored below 70% on W01 Activity: Project selection and Team Creation. Check in to see how you can help. </t>
        </is>
      </c>
    </row>
    <row r="8">
      <c r="A8" s="1" t="inlineStr">
        <is>
          <t>CSE499</t>
        </is>
      </c>
      <c r="B8" s="1" t="inlineStr">
        <is>
          <t>Missing Assignment</t>
        </is>
      </c>
      <c r="C8" s="45" t="inlineStr">
        <is>
          <t>W02 Activity: Project Plan</t>
        </is>
      </c>
      <c r="D8" s="23" t="n">
        <v>3</v>
      </c>
      <c r="E8" s="23" t="n">
        <v>2</v>
      </c>
      <c r="F8" s="23" t="n"/>
      <c r="G8" s="24" t="n"/>
      <c r="H8" s="24" t="inlineStr">
        <is>
          <t>y</t>
        </is>
      </c>
      <c r="I8" s="26">
        <f>DATE(YEAR(Setup!$C$4),MONTH(Setup!$C$4),DAY(Setup!$C$4)+((D8-1)*7)+(E8-WEEKDAY(DATE(YEAR(Setup!$C$4),MONTH(Setup!$C$4),DAY(Setup!$C$4)),1)))</f>
        <v/>
      </c>
      <c r="J8" s="26">
        <f>I8+3</f>
        <v/>
      </c>
      <c r="K8" s="26">
        <f>(I8 + (7 - WEEKDAY(I8,1))) + 1</f>
        <v/>
      </c>
      <c r="L8" s="23">
        <f>F8*G8</f>
        <v/>
      </c>
      <c r="M8" s="1" t="inlineStr">
        <is>
          <t>Missing Assignment: W02 Activity: Project Plan</t>
        </is>
      </c>
      <c r="N8" s="1" t="inlineStr">
        <is>
          <t>Check in with student missing W02 Activity: Project Plan</t>
        </is>
      </c>
    </row>
    <row r="9">
      <c r="A9" s="1" t="inlineStr">
        <is>
          <t>CSE499</t>
        </is>
      </c>
      <c r="B9" s="1" t="inlineStr">
        <is>
          <t>Grader-Issued 0</t>
        </is>
      </c>
      <c r="C9" s="45" t="inlineStr">
        <is>
          <t>W02 Activity: Project Plan</t>
        </is>
      </c>
      <c r="D9" s="23" t="n">
        <v>3</v>
      </c>
      <c r="E9" s="23" t="n">
        <v>4</v>
      </c>
      <c r="F9" s="23" t="n">
        <v>20</v>
      </c>
      <c r="G9" s="24" t="n"/>
      <c r="H9" s="24" t="inlineStr">
        <is>
          <t>y</t>
        </is>
      </c>
      <c r="I9" s="26">
        <f>DATE(YEAR(Setup!$C$4),MONTH(Setup!$C$4),DAY(Setup!$C$4)+((D9-1)*7)+(E9-WEEKDAY(DATE(YEAR(Setup!$C$4),MONTH(Setup!$C$4),DAY(Setup!$C$4)),1)))</f>
        <v/>
      </c>
      <c r="J9" s="26">
        <f>I9+3</f>
        <v/>
      </c>
      <c r="K9" s="26">
        <f>(I9 + (7 - WEEKDAY(I9,1))) + 1</f>
        <v/>
      </c>
      <c r="L9" s="23">
        <f>F9*G9</f>
        <v/>
      </c>
      <c r="M9" s="1" t="inlineStr">
        <is>
          <t>The student was given a Grader issued 0 on W02 Activity: Project Plan</t>
        </is>
      </c>
      <c r="N9" s="44" t="inlineStr">
        <is>
          <t>Grader issued 0 for W02 Activity: Project Plan. Log into Canvas and see the grader comments. Work with the student to help resubmit.</t>
        </is>
      </c>
    </row>
    <row r="10">
      <c r="A10" s="1" t="inlineStr">
        <is>
          <t>CSE499</t>
        </is>
      </c>
      <c r="B10" s="1" t="inlineStr">
        <is>
          <t>High Performance</t>
        </is>
      </c>
      <c r="C10" s="45" t="inlineStr">
        <is>
          <t>W02 Activity: Project Plan</t>
        </is>
      </c>
      <c r="D10" s="23" t="n">
        <v>3</v>
      </c>
      <c r="E10" s="23" t="n">
        <v>5</v>
      </c>
      <c r="F10" s="23" t="n">
        <v>20</v>
      </c>
      <c r="G10" s="24" t="n">
        <v>0.9</v>
      </c>
      <c r="H10" s="24" t="inlineStr">
        <is>
          <t>y</t>
        </is>
      </c>
      <c r="I10" s="26">
        <f>DATE(YEAR(Setup!$C$4),MONTH(Setup!$C$4),DAY(Setup!$C$4)+((D10-1)*7)+(E10-WEEKDAY(DATE(YEAR(Setup!$C$4),MONTH(Setup!$C$4),DAY(Setup!$C$4)),1)))</f>
        <v/>
      </c>
      <c r="J10" s="26">
        <f>I10+3</f>
        <v/>
      </c>
      <c r="K10" s="26">
        <f>(I10 + (7 - WEEKDAY(I10,1))) + 1</f>
        <v/>
      </c>
      <c r="L10" s="23">
        <f>F10*G10</f>
        <v/>
      </c>
      <c r="M10" s="1" t="inlineStr">
        <is>
          <t>High Performance: W02 Activity: Project Plan</t>
        </is>
      </c>
      <c r="N10" s="1" t="inlineStr">
        <is>
          <t>Provide Positive Feedback on W02 Activity: Project Plan</t>
        </is>
      </c>
    </row>
    <row r="11">
      <c r="A11" s="1" t="inlineStr">
        <is>
          <t>CSE499</t>
        </is>
      </c>
      <c r="B11" s="1" t="inlineStr">
        <is>
          <t>Low Performance</t>
        </is>
      </c>
      <c r="C11" s="45" t="inlineStr">
        <is>
          <t>W02 Activity: Project Plan</t>
        </is>
      </c>
      <c r="D11" s="23" t="n">
        <v>3</v>
      </c>
      <c r="E11" s="23" t="n">
        <v>5</v>
      </c>
      <c r="F11" s="23" t="n">
        <v>20</v>
      </c>
      <c r="G11" s="24" t="n">
        <v>0.7</v>
      </c>
      <c r="H11" s="24" t="inlineStr">
        <is>
          <t>y</t>
        </is>
      </c>
      <c r="I11" s="26">
        <f>DATE(YEAR(Setup!$C$4),MONTH(Setup!$C$4),DAY(Setup!$C$4)+((D11-1)*7)+(E11-WEEKDAY(DATE(YEAR(Setup!$C$4),MONTH(Setup!$C$4),DAY(Setup!$C$4)),1)))</f>
        <v/>
      </c>
      <c r="J11" s="26">
        <f>I11+3</f>
        <v/>
      </c>
      <c r="K11" s="26">
        <f>(I11 + (7 - WEEKDAY(I11,1))) + 1</f>
        <v/>
      </c>
      <c r="L11" s="23">
        <f>F11*G11</f>
        <v/>
      </c>
      <c r="M11" s="1" t="inlineStr">
        <is>
          <t>Low Performance: W02 Activity: Project Plan</t>
        </is>
      </c>
      <c r="N11" s="1" t="inlineStr">
        <is>
          <t xml:space="preserve">At Risk. Student scored below 70% on W02 Activity: Project Plan. Check in to see how you can help. </t>
        </is>
      </c>
    </row>
    <row r="12">
      <c r="A12" s="1" t="inlineStr">
        <is>
          <t>CSE499</t>
        </is>
      </c>
      <c r="B12" s="1" t="inlineStr">
        <is>
          <t>Quiz Question</t>
        </is>
      </c>
      <c r="C12" s="45" t="inlineStr">
        <is>
          <t>W02 60-second Status Update: NeedHelp Answer: Yes</t>
        </is>
      </c>
      <c r="D12" s="23" t="n">
        <v>3</v>
      </c>
      <c r="E12" s="23" t="n">
        <v>2</v>
      </c>
      <c r="F12" s="23" t="n"/>
      <c r="G12" s="24" t="n"/>
      <c r="H12" s="24" t="n"/>
      <c r="I12" s="26" t="n"/>
      <c r="J12" s="26" t="n"/>
      <c r="K12" s="26" t="n"/>
      <c r="M12" s="1" t="inlineStr">
        <is>
          <t>Response to W02 60-second Status Update - Student responded they are overwhelmed.</t>
        </is>
      </c>
      <c r="N12" s="1" t="inlineStr">
        <is>
          <t>Student responded feeling overwhelmed to W02  60-second Status Update. Reach out to student to see how you can help.</t>
        </is>
      </c>
    </row>
    <row r="13">
      <c r="A13" s="1" t="inlineStr">
        <is>
          <t>CSE499</t>
        </is>
      </c>
      <c r="B13" s="1" t="inlineStr">
        <is>
          <t>Missing Assignment</t>
        </is>
      </c>
      <c r="C13" s="1" t="inlineStr">
        <is>
          <t>W03 Activity: Sprint Commit and Retrospective</t>
        </is>
      </c>
      <c r="D13" s="23" t="n">
        <v>4</v>
      </c>
      <c r="E13" s="23" t="n">
        <v>2</v>
      </c>
      <c r="F13" s="23" t="n"/>
      <c r="G13" s="24" t="n"/>
      <c r="H13" s="24" t="inlineStr">
        <is>
          <t>y</t>
        </is>
      </c>
      <c r="I13" s="26">
        <f>DATE(YEAR(Setup!$C$4),MONTH(Setup!$C$4),DAY(Setup!$C$4)+((D13-1)*7)+(E13-WEEKDAY(DATE(YEAR(Setup!$C$4),MONTH(Setup!$C$4),DAY(Setup!$C$4)),1)))</f>
        <v/>
      </c>
      <c r="J13" s="26">
        <f>I13+3</f>
        <v/>
      </c>
      <c r="K13" s="26">
        <f>(I13 + (7 - WEEKDAY(I13,1))) + 1</f>
        <v/>
      </c>
      <c r="L13" s="23">
        <f>F13*G13</f>
        <v/>
      </c>
      <c r="M13" s="1" t="inlineStr">
        <is>
          <t>Missing Assignment: W03 Activity: Sprint Commit and Retrospective</t>
        </is>
      </c>
      <c r="N13" s="1" t="inlineStr">
        <is>
          <t>Check in with student missing W03 Activity: Sprint Commit and Retrospective2</t>
        </is>
      </c>
    </row>
    <row r="14">
      <c r="A14" s="1" t="inlineStr">
        <is>
          <t>CSE499</t>
        </is>
      </c>
      <c r="B14" s="1" t="inlineStr">
        <is>
          <t>Grader-Issued 0</t>
        </is>
      </c>
      <c r="C14" s="1" t="inlineStr">
        <is>
          <t>W03 Activity: Sprint Commit and Retrospective</t>
        </is>
      </c>
      <c r="D14" s="23" t="n">
        <v>4</v>
      </c>
      <c r="E14" s="23" t="n">
        <v>4</v>
      </c>
      <c r="F14" s="23" t="n">
        <v>20</v>
      </c>
      <c r="G14" s="24" t="n"/>
      <c r="H14" s="24" t="inlineStr">
        <is>
          <t>y</t>
        </is>
      </c>
      <c r="I14" s="26">
        <f>DATE(YEAR(Setup!$C$4),MONTH(Setup!$C$4),DAY(Setup!$C$4)+((D14-1)*7)+(E14-WEEKDAY(DATE(YEAR(Setup!$C$4),MONTH(Setup!$C$4),DAY(Setup!$C$4)),1)))</f>
        <v/>
      </c>
      <c r="J14" s="26">
        <f>I14+3</f>
        <v/>
      </c>
      <c r="K14" s="26">
        <f>(I14 + (7 - WEEKDAY(I14,1))) + 1</f>
        <v/>
      </c>
      <c r="L14" s="23">
        <f>F14*G14</f>
        <v/>
      </c>
      <c r="M14" s="1" t="inlineStr">
        <is>
          <t>The student was given a Grader issued 0 on W03 Activity: Sprint Commit and Retrospective</t>
        </is>
      </c>
      <c r="N14" s="44" t="inlineStr">
        <is>
          <t>Grader issued 0 for W03 Activity: Sprint Commit and Retrospective. Log into Canvas and see the grader comments. Work with the student to help resubmit.</t>
        </is>
      </c>
    </row>
    <row r="15">
      <c r="A15" s="1" t="inlineStr">
        <is>
          <t>CSE499</t>
        </is>
      </c>
      <c r="B15" s="1" t="inlineStr">
        <is>
          <t>Scheduled - Low Current Grade</t>
        </is>
      </c>
      <c r="C15" s="1" t="inlineStr">
        <is>
          <t>Withdraw Deadline Reminder</t>
        </is>
      </c>
      <c r="D15" s="23" t="n">
        <v>4</v>
      </c>
      <c r="E15" s="23" t="n">
        <v>4</v>
      </c>
      <c r="F15" s="23" t="n"/>
      <c r="G15" s="24" t="n">
        <v>0.5</v>
      </c>
      <c r="H15" s="24" t="inlineStr">
        <is>
          <t>y</t>
        </is>
      </c>
      <c r="I15" s="26">
        <f>DATE(YEAR(Setup!$C$4),MONTH(Setup!$C$4),DAY(Setup!$C$4)+((D15-1)*7)+(E15-WEEKDAY(DATE(YEAR(Setup!$C$4),MONTH(Setup!$C$4),DAY(Setup!$C$4)),1)))</f>
        <v/>
      </c>
      <c r="J15" s="26">
        <f>I15+3</f>
        <v/>
      </c>
      <c r="K15" s="26">
        <f>(I15 + (7 - WEEKDAY(I15,1))) + 1</f>
        <v/>
      </c>
      <c r="L15" s="23">
        <f>F15*G15</f>
        <v/>
      </c>
      <c r="M15" s="1" t="inlineStr">
        <is>
          <t>Failing student. Withdraw Reminder</t>
        </is>
      </c>
      <c r="N15" s="1" t="inlineStr">
        <is>
          <t>Email students who are currently failing with little chance to catch up, reminding them of the withdraw deadline.</t>
        </is>
      </c>
    </row>
    <row r="16">
      <c r="A16" s="1" t="inlineStr">
        <is>
          <t>CSE499</t>
        </is>
      </c>
      <c r="B16" s="1" t="inlineStr">
        <is>
          <t>High Performance</t>
        </is>
      </c>
      <c r="C16" s="1" t="inlineStr">
        <is>
          <t>W03 Activity: Sprint Commit and Retrospective</t>
        </is>
      </c>
      <c r="D16" s="23" t="n">
        <v>4</v>
      </c>
      <c r="E16" s="23" t="n">
        <v>5</v>
      </c>
      <c r="F16" s="23" t="n">
        <v>20</v>
      </c>
      <c r="G16" s="24" t="n">
        <v>0.9</v>
      </c>
      <c r="H16" s="24" t="inlineStr">
        <is>
          <t>y</t>
        </is>
      </c>
      <c r="I16" s="26">
        <f>DATE(YEAR(Setup!$C$4),MONTH(Setup!$C$4),DAY(Setup!$C$4)+((D16-1)*7)+(E16-WEEKDAY(DATE(YEAR(Setup!$C$4),MONTH(Setup!$C$4),DAY(Setup!$C$4)),1)))</f>
        <v/>
      </c>
      <c r="J16" s="26">
        <f>I16+3</f>
        <v/>
      </c>
      <c r="K16" s="26">
        <f>(I16 + (7 - WEEKDAY(I16,1))) + 1</f>
        <v/>
      </c>
      <c r="L16" s="23">
        <f>F16*G16</f>
        <v/>
      </c>
      <c r="M16" s="1" t="inlineStr">
        <is>
          <t>High Performance: W03 Activity: Sprint Commit and Retrospective</t>
        </is>
      </c>
      <c r="N16" s="1" t="inlineStr">
        <is>
          <t>Provide Positive Feedback on W03 Activity: Sprint Commit and Retrospective</t>
        </is>
      </c>
    </row>
    <row r="17">
      <c r="A17" s="1" t="inlineStr">
        <is>
          <t>CSE499</t>
        </is>
      </c>
      <c r="B17" s="1" t="inlineStr">
        <is>
          <t>Low Performance</t>
        </is>
      </c>
      <c r="C17" s="1" t="inlineStr">
        <is>
          <t>W03 Activity: Sprint Commit and Retrospective</t>
        </is>
      </c>
      <c r="D17" s="23" t="n">
        <v>4</v>
      </c>
      <c r="E17" s="23" t="n">
        <v>5</v>
      </c>
      <c r="F17" s="23" t="n">
        <v>20</v>
      </c>
      <c r="G17" s="24" t="n">
        <v>0.7</v>
      </c>
      <c r="H17" s="24" t="inlineStr">
        <is>
          <t>y</t>
        </is>
      </c>
      <c r="I17" s="26">
        <f>DATE(YEAR(Setup!$C$4),MONTH(Setup!$C$4),DAY(Setup!$C$4)+((D17-1)*7)+(E17-WEEKDAY(DATE(YEAR(Setup!$C$4),MONTH(Setup!$C$4),DAY(Setup!$C$4)),1)))</f>
        <v/>
      </c>
      <c r="J17" s="26">
        <f>I17+3</f>
        <v/>
      </c>
      <c r="K17" s="26">
        <f>(I17 + (7 - WEEKDAY(I17,1))) + 1</f>
        <v/>
      </c>
      <c r="L17" s="23">
        <f>F17*G17</f>
        <v/>
      </c>
      <c r="M17" s="1" t="inlineStr">
        <is>
          <t>Low Performance: W03 Activity: Sprint Commit and Retrospective</t>
        </is>
      </c>
      <c r="N17" s="1" t="inlineStr">
        <is>
          <t xml:space="preserve">At Risk. Student scored below 70% on W03 Activity: Sprint Commit and Retrospective. Check in to see how you can help. </t>
        </is>
      </c>
    </row>
    <row r="18">
      <c r="A18" s="1" t="inlineStr">
        <is>
          <t>CSE499</t>
        </is>
      </c>
      <c r="B18" s="1" t="inlineStr">
        <is>
          <t>Quiz Question</t>
        </is>
      </c>
      <c r="C18" s="45" t="inlineStr">
        <is>
          <t>W03 60-second Status Update: NeedHelp Answer: Yes</t>
        </is>
      </c>
      <c r="D18" s="23" t="n">
        <v>4</v>
      </c>
      <c r="E18" s="23" t="n">
        <v>2</v>
      </c>
      <c r="F18" s="23" t="n"/>
      <c r="G18" s="24" t="n"/>
      <c r="H18" s="24" t="n"/>
      <c r="I18" s="26" t="n"/>
      <c r="J18" s="26" t="n"/>
      <c r="K18" s="26" t="n"/>
      <c r="M18" s="1" t="inlineStr">
        <is>
          <t>Response to W03 60-second Status Update - Student responded they are overwhelmed.</t>
        </is>
      </c>
      <c r="N18" s="1" t="inlineStr">
        <is>
          <t>Student responded feeling overwhelmed to W03  60-second Status Update. Reach out to student to see how you can help.</t>
        </is>
      </c>
    </row>
    <row r="19">
      <c r="A19" s="1" t="inlineStr">
        <is>
          <t>CSE499</t>
        </is>
      </c>
      <c r="B19" s="1" t="inlineStr">
        <is>
          <t>Missing Assignment</t>
        </is>
      </c>
      <c r="C19" s="1" t="inlineStr">
        <is>
          <t>W04 Activity: Sprint Commit and Retrospective</t>
        </is>
      </c>
      <c r="D19" s="23" t="n">
        <v>5</v>
      </c>
      <c r="E19" s="23" t="n">
        <v>2</v>
      </c>
      <c r="F19" s="23" t="n"/>
      <c r="G19" s="24" t="n"/>
      <c r="H19" s="24" t="inlineStr">
        <is>
          <t>y</t>
        </is>
      </c>
      <c r="I19" s="26">
        <f>DATE(YEAR(Setup!$C$4),MONTH(Setup!$C$4),DAY(Setup!$C$4)+((D19-1)*7)+(E19-WEEKDAY(DATE(YEAR(Setup!$C$4),MONTH(Setup!$C$4),DAY(Setup!$C$4)),1)))</f>
        <v/>
      </c>
      <c r="J19" s="26">
        <f>I19+3</f>
        <v/>
      </c>
      <c r="K19" s="26">
        <f>(I19 + (7 - WEEKDAY(I19,1))) + 1</f>
        <v/>
      </c>
      <c r="L19" s="23">
        <f>F19*G19</f>
        <v/>
      </c>
      <c r="M19" s="1" t="inlineStr">
        <is>
          <t>Missing Assignment: W04 Activity: Sprint Commit and Retrospective</t>
        </is>
      </c>
      <c r="N19" s="1" t="inlineStr">
        <is>
          <t>Check in with student missing W04 Activity: Sprint Commit and Retrospective</t>
        </is>
      </c>
    </row>
    <row r="20">
      <c r="A20" s="1" t="inlineStr">
        <is>
          <t>CSE499</t>
        </is>
      </c>
      <c r="B20" s="1" t="inlineStr">
        <is>
          <t>Grader-Issued 0</t>
        </is>
      </c>
      <c r="C20" s="1" t="inlineStr">
        <is>
          <t>W04 Activity: Sprint Commit and Retrospective</t>
        </is>
      </c>
      <c r="D20" s="23" t="n">
        <v>5</v>
      </c>
      <c r="E20" s="23" t="n">
        <v>4</v>
      </c>
      <c r="F20" s="23" t="n">
        <v>20</v>
      </c>
      <c r="G20" s="24" t="n"/>
      <c r="H20" s="24" t="inlineStr">
        <is>
          <t>y</t>
        </is>
      </c>
      <c r="I20" s="26">
        <f>DATE(YEAR(Setup!$C$4),MONTH(Setup!$C$4),DAY(Setup!$C$4)+((D20-1)*7)+(E20-WEEKDAY(DATE(YEAR(Setup!$C$4),MONTH(Setup!$C$4),DAY(Setup!$C$4)),1)))</f>
        <v/>
      </c>
      <c r="J20" s="26">
        <f>I20+3</f>
        <v/>
      </c>
      <c r="K20" s="26">
        <f>(I20 + (7 - WEEKDAY(I20,1))) + 1</f>
        <v/>
      </c>
      <c r="L20" s="23">
        <f>F20*G20</f>
        <v/>
      </c>
      <c r="M20" s="1" t="inlineStr">
        <is>
          <t>The student was given a Grader issued 0 on W04 Activity: Sprint Commit and Retrospective</t>
        </is>
      </c>
      <c r="N20" s="44" t="inlineStr">
        <is>
          <t>Grader issued 0 forW04 Activity: Sprint Commit and Retrospective. Log into Canvas and see the grader comments. Work with the student to help resubmit.</t>
        </is>
      </c>
    </row>
    <row r="21">
      <c r="A21" s="1" t="inlineStr">
        <is>
          <t>CSE499</t>
        </is>
      </c>
      <c r="B21" s="1" t="inlineStr">
        <is>
          <t>Scheduled - Classwide</t>
        </is>
      </c>
      <c r="C21" s="1" t="inlineStr">
        <is>
          <t>Registration Reminder 1</t>
        </is>
      </c>
      <c r="D21" s="23" t="n">
        <v>5</v>
      </c>
      <c r="E21" s="23" t="n">
        <v>4</v>
      </c>
      <c r="F21" s="23" t="n"/>
      <c r="G21" s="24" t="n"/>
      <c r="H21" s="24" t="inlineStr">
        <is>
          <t>y</t>
        </is>
      </c>
      <c r="I21" s="26">
        <f>DATE(YEAR(Setup!$C$4),MONTH(Setup!$C$4),DAY(Setup!$C$4)+((D21-1)*7)+(E21-WEEKDAY(DATE(YEAR(Setup!$C$4),MONTH(Setup!$C$4),DAY(Setup!$C$4)),1)))</f>
        <v/>
      </c>
      <c r="J21" s="26">
        <f>I21+3</f>
        <v/>
      </c>
      <c r="K21" s="26">
        <f>(I21 + (7 - WEEKDAY(I21,1))) + 1</f>
        <v/>
      </c>
      <c r="L21" s="23">
        <f>F21*G21</f>
        <v/>
      </c>
      <c r="M21" s="1" t="inlineStr">
        <is>
          <t>Registration Reminder 1</t>
        </is>
      </c>
      <c r="N21" s="43" t="inlineStr">
        <is>
          <t>Send a message to all students, reminding them that registration for the next block is now open and encouraging them to go and take action.</t>
        </is>
      </c>
    </row>
    <row r="22">
      <c r="A22" s="1" t="inlineStr">
        <is>
          <t>CSE499</t>
        </is>
      </c>
      <c r="B22" s="1" t="inlineStr">
        <is>
          <t>High Performance</t>
        </is>
      </c>
      <c r="C22" s="1" t="inlineStr">
        <is>
          <t>W04 Activity: Sprint Commit and Retrospective</t>
        </is>
      </c>
      <c r="D22" s="23" t="n">
        <v>5</v>
      </c>
      <c r="E22" s="23" t="n">
        <v>5</v>
      </c>
      <c r="F22" s="23" t="n">
        <v>20</v>
      </c>
      <c r="G22" s="24" t="n">
        <v>0.9</v>
      </c>
      <c r="H22" s="24" t="inlineStr">
        <is>
          <t>y</t>
        </is>
      </c>
      <c r="I22" s="26">
        <f>DATE(YEAR(Setup!$C$4),MONTH(Setup!$C$4),DAY(Setup!$C$4)+((D22-1)*7)+(E22-WEEKDAY(DATE(YEAR(Setup!$C$4),MONTH(Setup!$C$4),DAY(Setup!$C$4)),1)))</f>
        <v/>
      </c>
      <c r="J22" s="26">
        <f>I22+3</f>
        <v/>
      </c>
      <c r="K22" s="26">
        <f>(I22 + (7 - WEEKDAY(I22,1))) + 1</f>
        <v/>
      </c>
      <c r="L22" s="23">
        <f>F22*G22</f>
        <v/>
      </c>
      <c r="M22" s="1" t="inlineStr">
        <is>
          <t>High Performance: W04 Activity: Sprint Commit and Retrospective</t>
        </is>
      </c>
      <c r="N22" s="1" t="inlineStr">
        <is>
          <t>Provide Positive Feedback on W04 Activity: Sprint Commit and Retrospective</t>
        </is>
      </c>
    </row>
    <row r="23">
      <c r="A23" s="1" t="inlineStr">
        <is>
          <t>CSE499</t>
        </is>
      </c>
      <c r="B23" s="1" t="inlineStr">
        <is>
          <t>Low Performance</t>
        </is>
      </c>
      <c r="C23" s="1" t="inlineStr">
        <is>
          <t>W04 Activity: Sprint Commit and Retrospective</t>
        </is>
      </c>
      <c r="D23" s="23" t="n">
        <v>5</v>
      </c>
      <c r="E23" s="23" t="n">
        <v>5</v>
      </c>
      <c r="F23" s="23" t="n">
        <v>20</v>
      </c>
      <c r="G23" s="24" t="n">
        <v>0.7</v>
      </c>
      <c r="H23" s="24" t="inlineStr">
        <is>
          <t>y</t>
        </is>
      </c>
      <c r="I23" s="26">
        <f>DATE(YEAR(Setup!$C$4),MONTH(Setup!$C$4),DAY(Setup!$C$4)+((D23-1)*7)+(E23-WEEKDAY(DATE(YEAR(Setup!$C$4),MONTH(Setup!$C$4),DAY(Setup!$C$4)),1)))</f>
        <v/>
      </c>
      <c r="J23" s="26">
        <f>I23+3</f>
        <v/>
      </c>
      <c r="K23" s="26">
        <f>(I23 + (7 - WEEKDAY(I23,1))) + 1</f>
        <v/>
      </c>
      <c r="L23" s="23">
        <f>F23*G23</f>
        <v/>
      </c>
      <c r="M23" s="1" t="inlineStr">
        <is>
          <t>Low Performance: W04 Activity: Sprint Commit and Retrospective</t>
        </is>
      </c>
      <c r="N23" s="1" t="inlineStr">
        <is>
          <t xml:space="preserve">At Risk. Student scored below 70% on W04 Activity: Sprint Commit and Retrospective. Check in to see how you can help. </t>
        </is>
      </c>
    </row>
    <row r="24">
      <c r="A24" s="1" t="inlineStr">
        <is>
          <t>CSE499</t>
        </is>
      </c>
      <c r="B24" s="1" t="inlineStr">
        <is>
          <t>Quiz Question</t>
        </is>
      </c>
      <c r="C24" s="45" t="inlineStr">
        <is>
          <t>W04 60-second Status Update: NeedHelp Answer: Yes</t>
        </is>
      </c>
      <c r="D24" s="23" t="n">
        <v>5</v>
      </c>
      <c r="E24" s="23" t="n">
        <v>2</v>
      </c>
      <c r="F24" s="23" t="n"/>
      <c r="G24" s="24" t="n"/>
      <c r="H24" s="24" t="n"/>
      <c r="I24" s="26" t="n"/>
      <c r="J24" s="26" t="n"/>
      <c r="K24" s="26" t="n"/>
      <c r="M24" s="1" t="inlineStr">
        <is>
          <t>Response to W04 60-second Status Update - Student responded they are overwhelmed.</t>
        </is>
      </c>
      <c r="N24" s="1" t="inlineStr">
        <is>
          <t>Student responded feeling overwhelmed to W04  60-second Status Update. Reach out to student to see how you can help.</t>
        </is>
      </c>
    </row>
    <row r="25">
      <c r="A25" s="1" t="inlineStr">
        <is>
          <t>CSE499</t>
        </is>
      </c>
      <c r="B25" s="1" t="inlineStr">
        <is>
          <t>Missing Assignment</t>
        </is>
      </c>
      <c r="C25" s="1" t="inlineStr">
        <is>
          <t>W05 Activity: Sprint Commit and Retrospective</t>
        </is>
      </c>
      <c r="D25" s="23" t="n">
        <v>6</v>
      </c>
      <c r="E25" s="23" t="n">
        <v>2</v>
      </c>
      <c r="F25" s="23" t="n"/>
      <c r="G25" s="24" t="n"/>
      <c r="H25" s="24" t="inlineStr">
        <is>
          <t>y</t>
        </is>
      </c>
      <c r="I25" s="26">
        <f>DATE(YEAR(Setup!$C$4),MONTH(Setup!$C$4),DAY(Setup!$C$4)+((D25-1)*7)+(E25-WEEKDAY(DATE(YEAR(Setup!$C$4),MONTH(Setup!$C$4),DAY(Setup!$C$4)),1)))</f>
        <v/>
      </c>
      <c r="J25" s="26">
        <f>I25+3</f>
        <v/>
      </c>
      <c r="K25" s="26">
        <f>(I25 + (7 - WEEKDAY(I25,1))) + 1</f>
        <v/>
      </c>
      <c r="L25" s="23">
        <f>F25*G25</f>
        <v/>
      </c>
      <c r="M25" s="1" t="inlineStr">
        <is>
          <t>Missing Assignment: W05 Activity: Sprint Commit and Retrospective</t>
        </is>
      </c>
      <c r="N25" s="1" t="inlineStr">
        <is>
          <t>Check in with student missing W05 Activity: Sprint Commit and Retrospective</t>
        </is>
      </c>
    </row>
    <row r="26">
      <c r="A26" s="1" t="inlineStr">
        <is>
          <t>CSE499</t>
        </is>
      </c>
      <c r="B26" s="1" t="inlineStr">
        <is>
          <t>Grader-Issued 0</t>
        </is>
      </c>
      <c r="C26" s="1" t="inlineStr">
        <is>
          <t>W05 Activity: Sprint Commit and Retrospective</t>
        </is>
      </c>
      <c r="D26" s="23" t="n">
        <v>6</v>
      </c>
      <c r="E26" s="23" t="n">
        <v>4</v>
      </c>
      <c r="F26" s="23" t="n">
        <v>20</v>
      </c>
      <c r="G26" s="24" t="n"/>
      <c r="H26" s="24" t="inlineStr">
        <is>
          <t>y</t>
        </is>
      </c>
      <c r="I26" s="26">
        <f>DATE(YEAR(Setup!$C$4),MONTH(Setup!$C$4),DAY(Setup!$C$4)+((D26-1)*7)+(E26-WEEKDAY(DATE(YEAR(Setup!$C$4),MONTH(Setup!$C$4),DAY(Setup!$C$4)),1)))</f>
        <v/>
      </c>
      <c r="J26" s="26">
        <f>I26+3</f>
        <v/>
      </c>
      <c r="K26" s="26">
        <f>(I26 + (7 - WEEKDAY(I26,1))) + 1</f>
        <v/>
      </c>
      <c r="L26" s="23">
        <f>F26*G26</f>
        <v/>
      </c>
      <c r="M26" s="1" t="inlineStr">
        <is>
          <t>The student was given a Grader issued 0 on W05 Activity: Sprint Commit and Retrospective</t>
        </is>
      </c>
      <c r="N26" s="44" t="inlineStr">
        <is>
          <t>Grader issued 0 for W05 Activity: Sprint Commit and Retrospective Log into Canvas and see the grader comments. Work with the student to help resubmit.</t>
        </is>
      </c>
    </row>
    <row r="27">
      <c r="A27" s="1" t="inlineStr">
        <is>
          <t>CSE499</t>
        </is>
      </c>
      <c r="B27" s="1" t="inlineStr">
        <is>
          <t>High Performance</t>
        </is>
      </c>
      <c r="C27" s="1" t="inlineStr">
        <is>
          <t>W05 Activity: Sprint Commit and Retrospective</t>
        </is>
      </c>
      <c r="D27" s="23" t="n">
        <v>6</v>
      </c>
      <c r="E27" s="23" t="n">
        <v>5</v>
      </c>
      <c r="F27" s="23" t="n">
        <v>20</v>
      </c>
      <c r="G27" s="24" t="n">
        <v>0.9</v>
      </c>
      <c r="H27" s="24" t="inlineStr">
        <is>
          <t>y</t>
        </is>
      </c>
      <c r="I27" s="26">
        <f>DATE(YEAR(Setup!$C$4),MONTH(Setup!$C$4),DAY(Setup!$C$4)+((D27-1)*7)+(E27-WEEKDAY(DATE(YEAR(Setup!$C$4),MONTH(Setup!$C$4),DAY(Setup!$C$4)),1)))</f>
        <v/>
      </c>
      <c r="J27" s="26">
        <f>I27+3</f>
        <v/>
      </c>
      <c r="K27" s="26">
        <f>(I27 + (7 - WEEKDAY(I27,1))) + 1</f>
        <v/>
      </c>
      <c r="L27" s="23">
        <f>F27*G27</f>
        <v/>
      </c>
      <c r="M27" s="1" t="inlineStr">
        <is>
          <t>High Performance: W05 Activity: Sprint Commit and Retrospective</t>
        </is>
      </c>
      <c r="N27" s="1" t="inlineStr">
        <is>
          <t>Provide Positive Feedback on W05 Activity: Sprint Commit and Retrospective</t>
        </is>
      </c>
    </row>
    <row r="28">
      <c r="A28" s="1" t="inlineStr">
        <is>
          <t>CSE499</t>
        </is>
      </c>
      <c r="B28" s="1" t="inlineStr">
        <is>
          <t>Low Performance</t>
        </is>
      </c>
      <c r="C28" s="1" t="inlineStr">
        <is>
          <t>W05 Activity: Sprint Commit and Retrospective</t>
        </is>
      </c>
      <c r="D28" s="23" t="n">
        <v>6</v>
      </c>
      <c r="E28" s="23" t="n">
        <v>5</v>
      </c>
      <c r="F28" s="23" t="n">
        <v>20</v>
      </c>
      <c r="G28" s="24" t="n">
        <v>0.7</v>
      </c>
      <c r="H28" s="24" t="inlineStr">
        <is>
          <t>y</t>
        </is>
      </c>
      <c r="I28" s="26">
        <f>DATE(YEAR(Setup!$C$4),MONTH(Setup!$C$4),DAY(Setup!$C$4)+((D28-1)*7)+(E28-WEEKDAY(DATE(YEAR(Setup!$C$4),MONTH(Setup!$C$4),DAY(Setup!$C$4)),1)))</f>
        <v/>
      </c>
      <c r="J28" s="26">
        <f>I28+3</f>
        <v/>
      </c>
      <c r="K28" s="26">
        <f>(I28 + (7 - WEEKDAY(I28,1))) + 1</f>
        <v/>
      </c>
      <c r="L28" s="23">
        <f>F28*G28</f>
        <v/>
      </c>
      <c r="M28" s="1" t="inlineStr">
        <is>
          <t>Low Performance: W05 Activity: Sprint Commit and Retrospective</t>
        </is>
      </c>
      <c r="N28" s="1" t="inlineStr">
        <is>
          <t xml:space="preserve">At Risk. Student scored below 70% on W05 Activity: Sprint Commit and Retrospective. Check in to see how you can help. </t>
        </is>
      </c>
    </row>
    <row r="29">
      <c r="A29" s="1" t="inlineStr">
        <is>
          <t>CSE499</t>
        </is>
      </c>
      <c r="B29" s="1" t="inlineStr">
        <is>
          <t>Quiz Question</t>
        </is>
      </c>
      <c r="C29" s="45" t="inlineStr">
        <is>
          <t>W05 60-second Status Update: NeedHelp Answer: Yes</t>
        </is>
      </c>
      <c r="D29" s="23" t="n">
        <v>6</v>
      </c>
      <c r="E29" s="23" t="n">
        <v>2</v>
      </c>
      <c r="F29" s="23" t="n"/>
      <c r="G29" s="24" t="n"/>
      <c r="H29" s="24" t="n"/>
      <c r="I29" s="26" t="n"/>
      <c r="J29" s="26" t="n"/>
      <c r="K29" s="26" t="n"/>
      <c r="M29" s="1" t="inlineStr">
        <is>
          <t>Response to W05 60-second Status Update - Student responded they are overwhelmed.</t>
        </is>
      </c>
      <c r="N29" s="1" t="inlineStr">
        <is>
          <t>Student responded feeling overwhelmed to W05 60-second Status Update. Reach out to student to see how you can help.</t>
        </is>
      </c>
    </row>
    <row r="30">
      <c r="A30" s="1" t="inlineStr">
        <is>
          <t>CSE499</t>
        </is>
      </c>
      <c r="B30" s="1" t="inlineStr">
        <is>
          <t>Scheduled - Classwide</t>
        </is>
      </c>
      <c r="C30" s="1" t="inlineStr">
        <is>
          <t>Registration Reminder 2</t>
        </is>
      </c>
      <c r="D30" s="23" t="n">
        <v>7</v>
      </c>
      <c r="E30" s="23" t="n">
        <v>1</v>
      </c>
      <c r="F30" s="23" t="n"/>
      <c r="G30" s="24" t="n"/>
      <c r="H30" s="24" t="inlineStr">
        <is>
          <t>y</t>
        </is>
      </c>
      <c r="I30" s="26">
        <f>DATE(YEAR(Setup!$C$4),MONTH(Setup!$C$4),DAY(Setup!$C$4)+((D30-1)*7)+(E30-WEEKDAY(DATE(YEAR(Setup!$C$4),MONTH(Setup!$C$4),DAY(Setup!$C$4)),1)))</f>
        <v/>
      </c>
      <c r="J30" s="26">
        <f>I30+3</f>
        <v/>
      </c>
      <c r="K30" s="26">
        <f>(I30 + (7 - WEEKDAY(I30,1))) + 1</f>
        <v/>
      </c>
      <c r="L30" s="23">
        <f>F30*G30</f>
        <v/>
      </c>
      <c r="M30" s="1" t="inlineStr">
        <is>
          <t>Registration Reminder 2</t>
        </is>
      </c>
      <c r="N30" s="43" t="inlineStr">
        <is>
          <t>Send a message to all students, reminding them that registration for the next block is still open, but will be closing soon. Encourage them to go in and register as soon as possible.</t>
        </is>
      </c>
    </row>
    <row r="31">
      <c r="A31" s="1" t="inlineStr">
        <is>
          <t>CSE499</t>
        </is>
      </c>
      <c r="B31" s="1" t="inlineStr">
        <is>
          <t>Scheduled - Classwide</t>
        </is>
      </c>
      <c r="C31" s="1" t="inlineStr">
        <is>
          <t>End of Block Reminder</t>
        </is>
      </c>
      <c r="D31" s="23" t="n">
        <v>7</v>
      </c>
      <c r="E31" s="23" t="n">
        <v>2</v>
      </c>
      <c r="F31" s="23" t="n"/>
      <c r="G31" s="24" t="n"/>
      <c r="H31" s="24" t="inlineStr">
        <is>
          <t>y</t>
        </is>
      </c>
      <c r="I31" s="26">
        <f>DATE(YEAR(Setup!$C$4),MONTH(Setup!$C$4),DAY(Setup!$C$4)+((D31-1)*7)+(E31-WEEKDAY(DATE(YEAR(Setup!$C$4),MONTH(Setup!$C$4),DAY(Setup!$C$4)),1)))</f>
        <v/>
      </c>
      <c r="J31" s="26">
        <f>I31+3</f>
        <v/>
      </c>
      <c r="K31" s="26">
        <f>(I31 + (7 - WEEKDAY(I31,1))) + 1</f>
        <v/>
      </c>
      <c r="L31" s="23">
        <f>F31*G31</f>
        <v/>
      </c>
      <c r="M31" s="1" t="inlineStr">
        <is>
          <t>End of Block Reminder</t>
        </is>
      </c>
      <c r="N31" s="44" t="inlineStr">
        <is>
          <t>Remind Students the course will be closing, submit assignments by deadline, complete End-of-Course Evaluation</t>
        </is>
      </c>
    </row>
    <row r="32">
      <c r="G32" s="2" t="n"/>
      <c r="H32" s="2" t="n"/>
      <c r="I32" s="26">
        <f>DATE(YEAR(Setup!$C$4),MONTH(Setup!$C$4),DAY(Setup!$C$4)+((D32-1)*7)+(E32-WEEKDAY(DATE(YEAR(Setup!$C$4),MONTH(Setup!$C$4),DAY(Setup!$C$4)),1)))</f>
        <v/>
      </c>
      <c r="J32" s="26">
        <f>I32+3</f>
        <v/>
      </c>
      <c r="K32" s="26">
        <f>(I32 + (7 - WEEKDAY(I32,1))) + 1</f>
        <v/>
      </c>
      <c r="L32" s="23">
        <f>F32*G32</f>
        <v/>
      </c>
    </row>
    <row r="33">
      <c r="G33" s="2" t="n"/>
      <c r="H33" s="2" t="n"/>
      <c r="I33" s="26">
        <f>DATE(YEAR(Setup!$C$4),MONTH(Setup!$C$4),DAY(Setup!$C$4)+((D33-1)*7)+(E33-WEEKDAY(DATE(YEAR(Setup!$C$4),MONTH(Setup!$C$4),DAY(Setup!$C$4)),1)))</f>
        <v/>
      </c>
      <c r="J33" s="26">
        <f>I33+3</f>
        <v/>
      </c>
      <c r="K33" s="26">
        <f>(I33 + (7 - WEEKDAY(I33,1))) + 1</f>
        <v/>
      </c>
      <c r="L33" s="23">
        <f>F33*G33</f>
        <v/>
      </c>
    </row>
    <row r="34">
      <c r="B34" s="3" t="n"/>
      <c r="G34" s="2" t="n"/>
      <c r="H34" s="2" t="n"/>
      <c r="I34" s="26">
        <f>DATE(YEAR(Setup!$C$4),MONTH(Setup!$C$4),DAY(Setup!$C$4)+((D34-1)*7)+(E34-WEEKDAY(DATE(YEAR(Setup!$C$4),MONTH(Setup!$C$4),DAY(Setup!$C$4)),1)))</f>
        <v/>
      </c>
      <c r="J34" s="26">
        <f>I34+3</f>
        <v/>
      </c>
      <c r="K34" s="26">
        <f>(I34 + (7 - WEEKDAY(I34,1))) + 1</f>
        <v/>
      </c>
      <c r="L34" s="23">
        <f>F34*G34</f>
        <v/>
      </c>
    </row>
    <row r="35">
      <c r="G35" s="2" t="n"/>
      <c r="H35" s="2" t="n"/>
      <c r="I35" s="26">
        <f>DATE(YEAR(Setup!$C$4),MONTH(Setup!$C$4),DAY(Setup!$C$4)+((D35-1)*7)+(E35-WEEKDAY(DATE(YEAR(Setup!$C$4),MONTH(Setup!$C$4),DAY(Setup!$C$4)),1)))</f>
        <v/>
      </c>
      <c r="J35" s="26">
        <f>I35+3</f>
        <v/>
      </c>
      <c r="K35" s="26">
        <f>(I35 + (7 - WEEKDAY(I35,1))) + 1</f>
        <v/>
      </c>
      <c r="L35" s="23">
        <f>F35*G35</f>
        <v/>
      </c>
    </row>
    <row r="36">
      <c r="G36" s="2" t="n"/>
      <c r="H36" s="2" t="n"/>
      <c r="I36" s="26">
        <f>DATE(YEAR(Setup!$C$4),MONTH(Setup!$C$4),DAY(Setup!$C$4)+((D36-1)*7)+(E36-WEEKDAY(DATE(YEAR(Setup!$C$4),MONTH(Setup!$C$4),DAY(Setup!$C$4)),1)))</f>
        <v/>
      </c>
      <c r="J36" s="26">
        <f>I36+3</f>
        <v/>
      </c>
      <c r="K36" s="26">
        <f>(I36 + (7 - WEEKDAY(I36,1))) + 1</f>
        <v/>
      </c>
      <c r="L36" s="23">
        <f>F36*G36</f>
        <v/>
      </c>
    </row>
    <row r="37">
      <c r="G37" s="2" t="n"/>
      <c r="H37" s="2" t="n"/>
      <c r="I37" s="26">
        <f>DATE(YEAR(Setup!$C$4),MONTH(Setup!$C$4),DAY(Setup!$C$4)+((D37-1)*7)+(E37-WEEKDAY(DATE(YEAR(Setup!$C$4),MONTH(Setup!$C$4),DAY(Setup!$C$4)),1)))</f>
        <v/>
      </c>
      <c r="J37" s="26">
        <f>I37+3</f>
        <v/>
      </c>
      <c r="K37" s="26">
        <f>(I37 + (7 - WEEKDAY(I37,1))) + 1</f>
        <v/>
      </c>
      <c r="L37" s="23">
        <f>F37*G37</f>
        <v/>
      </c>
    </row>
    <row r="38">
      <c r="B38" s="3" t="n"/>
      <c r="G38" s="2" t="n"/>
      <c r="H38" s="2" t="n"/>
      <c r="I38" s="26">
        <f>DATE(YEAR(Setup!$C$4),MONTH(Setup!$C$4),DAY(Setup!$C$4)+((D38-1)*7)+(E38-WEEKDAY(DATE(YEAR(Setup!$C$4),MONTH(Setup!$C$4),DAY(Setup!$C$4)),1)))</f>
        <v/>
      </c>
      <c r="J38" s="26">
        <f>I38+3</f>
        <v/>
      </c>
      <c r="K38" s="26">
        <f>(I38 + (7 - WEEKDAY(I38,1))) + 1</f>
        <v/>
      </c>
      <c r="L38" s="23">
        <f>F38*G38</f>
        <v/>
      </c>
    </row>
    <row r="39">
      <c r="G39" s="2" t="n"/>
      <c r="H39" s="2" t="n"/>
      <c r="I39" s="26">
        <f>DATE(YEAR(Setup!$C$4),MONTH(Setup!$C$4),DAY(Setup!$C$4)+((D39-1)*7)+(E39-WEEKDAY(DATE(YEAR(Setup!$C$4),MONTH(Setup!$C$4),DAY(Setup!$C$4)),1)))</f>
        <v/>
      </c>
      <c r="J39" s="26">
        <f>I39+3</f>
        <v/>
      </c>
      <c r="K39" s="26">
        <f>(I39 + (7 - WEEKDAY(I39,1))) + 1</f>
        <v/>
      </c>
      <c r="L39" s="23">
        <f>F39*G39</f>
        <v/>
      </c>
    </row>
    <row r="40">
      <c r="G40" s="2" t="n"/>
      <c r="H40" s="2" t="n"/>
      <c r="I40" s="26">
        <f>DATE(YEAR(Setup!$C$4),MONTH(Setup!$C$4),DAY(Setup!$C$4)+((D40-1)*7)+(E40-WEEKDAY(DATE(YEAR(Setup!$C$4),MONTH(Setup!$C$4),DAY(Setup!$C$4)),1)))</f>
        <v/>
      </c>
      <c r="J40" s="26">
        <f>I40+3</f>
        <v/>
      </c>
      <c r="K40" s="26">
        <f>(I40 + (7 - WEEKDAY(I40,1))) + 1</f>
        <v/>
      </c>
      <c r="L40" s="23">
        <f>F40*G40</f>
        <v/>
      </c>
    </row>
    <row r="41">
      <c r="G41" s="2" t="n"/>
      <c r="H41" s="2" t="n"/>
      <c r="I41" s="26">
        <f>DATE(YEAR(Setup!$C$4),MONTH(Setup!$C$4),DAY(Setup!$C$4)+((D41-1)*7)+(E41-WEEKDAY(DATE(YEAR(Setup!$C$4),MONTH(Setup!$C$4),DAY(Setup!$C$4)),1)))</f>
        <v/>
      </c>
      <c r="J41" s="26">
        <f>I41+3</f>
        <v/>
      </c>
      <c r="K41" s="26">
        <f>(I41 + (7 - WEEKDAY(I41,1))) + 1</f>
        <v/>
      </c>
      <c r="L41" s="23">
        <f>F41*G41</f>
        <v/>
      </c>
    </row>
    <row r="42">
      <c r="G42" s="2" t="n"/>
      <c r="H42" s="2" t="n"/>
      <c r="I42" s="26">
        <f>DATE(YEAR(Setup!$C$4),MONTH(Setup!$C$4),DAY(Setup!$C$4)+((D42-1)*7)+(E42-WEEKDAY(DATE(YEAR(Setup!$C$4),MONTH(Setup!$C$4),DAY(Setup!$C$4)),1)))</f>
        <v/>
      </c>
      <c r="J42" s="26">
        <f>I42+3</f>
        <v/>
      </c>
      <c r="K42" s="26">
        <f>(I42 + (7 - WEEKDAY(I42,1))) + 1</f>
        <v/>
      </c>
      <c r="L42" s="23">
        <f>F42*G42</f>
        <v/>
      </c>
    </row>
    <row r="43">
      <c r="G43" s="2" t="n"/>
      <c r="H43" s="2" t="n"/>
      <c r="I43" s="26">
        <f>DATE(YEAR(Setup!$C$4),MONTH(Setup!$C$4),DAY(Setup!$C$4)+((D43-1)*7)+(E43-WEEKDAY(DATE(YEAR(Setup!$C$4),MONTH(Setup!$C$4),DAY(Setup!$C$4)),1)))</f>
        <v/>
      </c>
      <c r="J43" s="26">
        <f>I43+3</f>
        <v/>
      </c>
      <c r="K43" s="26">
        <f>(I43 + (7 - WEEKDAY(I43,1))) + 1</f>
        <v/>
      </c>
      <c r="L43" s="23">
        <f>F43*G43</f>
        <v/>
      </c>
    </row>
    <row r="44">
      <c r="G44" s="2" t="n"/>
      <c r="H44" s="2" t="n"/>
      <c r="I44" s="26">
        <f>DATE(YEAR(Setup!$C$4),MONTH(Setup!$C$4),DAY(Setup!$C$4)+((D44-1)*7)+(E44-WEEKDAY(DATE(YEAR(Setup!$C$4),MONTH(Setup!$C$4),DAY(Setup!$C$4)),1)))</f>
        <v/>
      </c>
      <c r="J44" s="26">
        <f>I44+3</f>
        <v/>
      </c>
      <c r="K44" s="26">
        <f>(I44 + (7 - WEEKDAY(I44,1))) + 1</f>
        <v/>
      </c>
      <c r="L44" s="23">
        <f>F44*G44</f>
        <v/>
      </c>
    </row>
    <row r="45">
      <c r="G45" s="2" t="n"/>
      <c r="H45" s="2" t="n"/>
      <c r="I45" s="26">
        <f>DATE(YEAR(Setup!$C$4),MONTH(Setup!$C$4),DAY(Setup!$C$4)+((D45-1)*7)+(E45-WEEKDAY(DATE(YEAR(Setup!$C$4),MONTH(Setup!$C$4),DAY(Setup!$C$4)),1)))</f>
        <v/>
      </c>
      <c r="J45" s="26">
        <f>I45+3</f>
        <v/>
      </c>
      <c r="K45" s="26">
        <f>(I45 + (7 - WEEKDAY(I45,1))) + 1</f>
        <v/>
      </c>
      <c r="L45" s="23">
        <f>F45*G45</f>
        <v/>
      </c>
    </row>
    <row r="46">
      <c r="G46" s="2" t="n"/>
      <c r="H46" s="2" t="n"/>
      <c r="I46" s="26">
        <f>DATE(YEAR(Setup!$C$4),MONTH(Setup!$C$4),DAY(Setup!$C$4)+((D46-1)*7)+(E46-WEEKDAY(DATE(YEAR(Setup!$C$4),MONTH(Setup!$C$4),DAY(Setup!$C$4)),1)))</f>
        <v/>
      </c>
      <c r="J46" s="26">
        <f>I46+3</f>
        <v/>
      </c>
      <c r="K46" s="26">
        <f>(I46 + (7 - WEEKDAY(I46,1))) + 1</f>
        <v/>
      </c>
      <c r="L46" s="23">
        <f>F46*G46</f>
        <v/>
      </c>
    </row>
    <row r="47">
      <c r="G47" s="2" t="n"/>
      <c r="H47" s="2" t="n"/>
      <c r="I47" s="26">
        <f>DATE(YEAR(Setup!$C$4),MONTH(Setup!$C$4),DAY(Setup!$C$4)+((D47-1)*7)+(E47-WEEKDAY(DATE(YEAR(Setup!$C$4),MONTH(Setup!$C$4),DAY(Setup!$C$4)),1)))</f>
        <v/>
      </c>
      <c r="J47" s="26">
        <f>I47+3</f>
        <v/>
      </c>
      <c r="K47" s="26">
        <f>(I47 + (7 - WEEKDAY(I47,1))) + 1</f>
        <v/>
      </c>
      <c r="L47" s="23">
        <f>F47*G47</f>
        <v/>
      </c>
    </row>
    <row r="48">
      <c r="G48" s="2" t="n"/>
      <c r="H48" s="2" t="n"/>
      <c r="I48" s="26">
        <f>DATE(YEAR(Setup!$C$4),MONTH(Setup!$C$4),DAY(Setup!$C$4)+((D48-1)*7)+(E48-WEEKDAY(DATE(YEAR(Setup!$C$4),MONTH(Setup!$C$4),DAY(Setup!$C$4)),1)))</f>
        <v/>
      </c>
      <c r="J48" s="26">
        <f>I48+3</f>
        <v/>
      </c>
      <c r="K48" s="26">
        <f>(I48 + (7 - WEEKDAY(I48,1))) + 1</f>
        <v/>
      </c>
      <c r="L48" s="23">
        <f>F48*G48</f>
        <v/>
      </c>
    </row>
    <row r="49">
      <c r="G49" s="2" t="n"/>
      <c r="H49" s="2" t="n"/>
      <c r="I49" s="26">
        <f>DATE(YEAR(Setup!$C$4),MONTH(Setup!$C$4),DAY(Setup!$C$4)+((D49-1)*7)+(E49-WEEKDAY(DATE(YEAR(Setup!$C$4),MONTH(Setup!$C$4),DAY(Setup!$C$4)),1)))</f>
        <v/>
      </c>
      <c r="J49" s="26">
        <f>I49+3</f>
        <v/>
      </c>
      <c r="K49" s="26">
        <f>(I49 + (7 - WEEKDAY(I49,1))) + 1</f>
        <v/>
      </c>
      <c r="L49" s="23">
        <f>F49*G49</f>
        <v/>
      </c>
    </row>
    <row r="50">
      <c r="G50" s="2" t="n"/>
      <c r="H50" s="2" t="n"/>
      <c r="I50" s="26">
        <f>DATE(YEAR(Setup!$C$4),MONTH(Setup!$C$4),DAY(Setup!$C$4)+((D50-1)*7)+(E50-WEEKDAY(DATE(YEAR(Setup!$C$4),MONTH(Setup!$C$4),DAY(Setup!$C$4)),1)))</f>
        <v/>
      </c>
      <c r="J50" s="26">
        <f>I50+3</f>
        <v/>
      </c>
      <c r="K50" s="26">
        <f>(I50 + (7 - WEEKDAY(I50,1))) + 1</f>
        <v/>
      </c>
      <c r="L50" s="23">
        <f>F50*G50</f>
        <v/>
      </c>
    </row>
    <row r="51">
      <c r="G51" s="2" t="n"/>
      <c r="H51" s="2" t="n"/>
      <c r="I51" s="26">
        <f>DATE(YEAR(Setup!$C$4),MONTH(Setup!$C$4),DAY(Setup!$C$4)+((D51-1)*7)+(E51-WEEKDAY(DATE(YEAR(Setup!$C$4),MONTH(Setup!$C$4),DAY(Setup!$C$4)),1)))</f>
        <v/>
      </c>
      <c r="J51" s="26">
        <f>I51+3</f>
        <v/>
      </c>
      <c r="K51" s="26">
        <f>(I51 + (7 - WEEKDAY(I51,1))) + 1</f>
        <v/>
      </c>
      <c r="L51" s="23">
        <f>F51*G51</f>
        <v/>
      </c>
    </row>
    <row r="52">
      <c r="G52" s="2" t="n"/>
      <c r="H52" s="2" t="n"/>
      <c r="I52" s="26">
        <f>DATE(YEAR(Setup!$C$4),MONTH(Setup!$C$4),DAY(Setup!$C$4)+((D52-1)*7)+(E52-WEEKDAY(DATE(YEAR(Setup!$C$4),MONTH(Setup!$C$4),DAY(Setup!$C$4)),1)))</f>
        <v/>
      </c>
      <c r="J52" s="26">
        <f>I52+3</f>
        <v/>
      </c>
      <c r="K52" s="26">
        <f>(I52 + (7 - WEEKDAY(I52,1))) + 1</f>
        <v/>
      </c>
      <c r="L52" s="23">
        <f>F52*G52</f>
        <v/>
      </c>
    </row>
    <row r="53">
      <c r="G53" s="2" t="n"/>
      <c r="H53" s="2" t="n"/>
      <c r="I53" s="26">
        <f>DATE(YEAR(Setup!$C$4),MONTH(Setup!$C$4),DAY(Setup!$C$4)+((D53-1)*7)+(E53-WEEKDAY(DATE(YEAR(Setup!$C$4),MONTH(Setup!$C$4),DAY(Setup!$C$4)),1)))</f>
        <v/>
      </c>
      <c r="J53" s="26">
        <f>I53+3</f>
        <v/>
      </c>
      <c r="K53" s="26">
        <f>(I53 + (7 - WEEKDAY(I53,1))) + 1</f>
        <v/>
      </c>
      <c r="L53" s="23">
        <f>F53*G53</f>
        <v/>
      </c>
    </row>
    <row r="54">
      <c r="G54" s="2" t="n"/>
      <c r="H54" s="2" t="n"/>
      <c r="I54" s="26">
        <f>DATE(YEAR(Setup!$C$4),MONTH(Setup!$C$4),DAY(Setup!$C$4)+((D54-1)*7)+(E54-WEEKDAY(DATE(YEAR(Setup!$C$4),MONTH(Setup!$C$4),DAY(Setup!$C$4)),1)))</f>
        <v/>
      </c>
      <c r="J54" s="26">
        <f>I54+3</f>
        <v/>
      </c>
      <c r="K54" s="26">
        <f>(I54 + (7 - WEEKDAY(I54,1))) + 1</f>
        <v/>
      </c>
      <c r="L54" s="23">
        <f>F54*G54</f>
        <v/>
      </c>
    </row>
    <row r="55">
      <c r="G55" s="2" t="n"/>
      <c r="H55" s="2" t="n"/>
      <c r="I55" s="26">
        <f>DATE(YEAR(Setup!$C$4),MONTH(Setup!$C$4),DAY(Setup!$C$4)+((D55-1)*7)+(E55-WEEKDAY(DATE(YEAR(Setup!$C$4),MONTH(Setup!$C$4),DAY(Setup!$C$4)),1)))</f>
        <v/>
      </c>
      <c r="J55" s="26">
        <f>I55+3</f>
        <v/>
      </c>
      <c r="K55" s="26">
        <f>(I55 + (7 - WEEKDAY(I55,1))) + 1</f>
        <v/>
      </c>
      <c r="L55" s="23">
        <f>F55*G55</f>
        <v/>
      </c>
    </row>
    <row r="56">
      <c r="G56" s="2" t="n"/>
      <c r="H56" s="2" t="n"/>
      <c r="I56" s="26">
        <f>DATE(YEAR(Setup!$C$4),MONTH(Setup!$C$4),DAY(Setup!$C$4)+((D56-1)*7)+(E56-WEEKDAY(DATE(YEAR(Setup!$C$4),MONTH(Setup!$C$4),DAY(Setup!$C$4)),1)))</f>
        <v/>
      </c>
      <c r="J56" s="26">
        <f>I56+3</f>
        <v/>
      </c>
      <c r="K56" s="26">
        <f>(I56 + (7 - WEEKDAY(I56,1))) + 1</f>
        <v/>
      </c>
      <c r="L56" s="23">
        <f>F56*G56</f>
        <v/>
      </c>
    </row>
    <row r="57">
      <c r="G57" s="2" t="n"/>
      <c r="H57" s="2" t="n"/>
      <c r="I57" s="26">
        <f>DATE(YEAR(Setup!$C$4),MONTH(Setup!$C$4),DAY(Setup!$C$4)+((D57-1)*7)+(E57-WEEKDAY(DATE(YEAR(Setup!$C$4),MONTH(Setup!$C$4),DAY(Setup!$C$4)),1)))</f>
        <v/>
      </c>
      <c r="J57" s="26">
        <f>I57+3</f>
        <v/>
      </c>
      <c r="K57" s="26">
        <f>(I57 + (7 - WEEKDAY(I57,1))) + 1</f>
        <v/>
      </c>
      <c r="L57" s="23">
        <f>F57*G57</f>
        <v/>
      </c>
    </row>
    <row r="58">
      <c r="G58" s="2" t="n"/>
      <c r="H58" s="2" t="n"/>
      <c r="I58" s="26">
        <f>DATE(YEAR(Setup!$C$4),MONTH(Setup!$C$4),DAY(Setup!$C$4)+((D58-1)*7)+(E58-WEEKDAY(DATE(YEAR(Setup!$C$4),MONTH(Setup!$C$4),DAY(Setup!$C$4)),1)))</f>
        <v/>
      </c>
      <c r="J58" s="26">
        <f>I58+3</f>
        <v/>
      </c>
      <c r="K58" s="26">
        <f>(I58 + (7 - WEEKDAY(I58,1))) + 1</f>
        <v/>
      </c>
      <c r="L58" s="23">
        <f>F58*G58</f>
        <v/>
      </c>
    </row>
    <row r="59">
      <c r="G59" s="2" t="n"/>
      <c r="H59" s="2" t="n"/>
      <c r="I59" s="26">
        <f>DATE(YEAR(Setup!$C$4),MONTH(Setup!$C$4),DAY(Setup!$C$4)+((D59-1)*7)+(E59-WEEKDAY(DATE(YEAR(Setup!$C$4),MONTH(Setup!$C$4),DAY(Setup!$C$4)),1)))</f>
        <v/>
      </c>
      <c r="J59" s="26">
        <f>I59+3</f>
        <v/>
      </c>
      <c r="K59" s="26">
        <f>(I59 + (7 - WEEKDAY(I59,1))) + 1</f>
        <v/>
      </c>
      <c r="L59" s="23">
        <f>F59*G59</f>
        <v/>
      </c>
    </row>
    <row r="60">
      <c r="G60" s="2" t="n"/>
      <c r="H60" s="2" t="n"/>
      <c r="I60" s="26">
        <f>DATE(YEAR(Setup!$C$4),MONTH(Setup!$C$4),DAY(Setup!$C$4)+((D60-1)*7)+(E60-WEEKDAY(DATE(YEAR(Setup!$C$4),MONTH(Setup!$C$4),DAY(Setup!$C$4)),1)))</f>
        <v/>
      </c>
      <c r="J60" s="26">
        <f>I60+3</f>
        <v/>
      </c>
      <c r="K60" s="26">
        <f>(I60 + (7 - WEEKDAY(I60,1))) + 1</f>
        <v/>
      </c>
      <c r="L60" s="23">
        <f>F60*G60</f>
        <v/>
      </c>
    </row>
    <row r="61">
      <c r="G61" s="2" t="n"/>
      <c r="H61" s="2" t="n"/>
      <c r="I61" s="26">
        <f>DATE(YEAR(Setup!$C$4),MONTH(Setup!$C$4),DAY(Setup!$C$4)+((D61-1)*7)+(E61-WEEKDAY(DATE(YEAR(Setup!$C$4),MONTH(Setup!$C$4),DAY(Setup!$C$4)),1)))</f>
        <v/>
      </c>
      <c r="J61" s="26">
        <f>I61+3</f>
        <v/>
      </c>
      <c r="K61" s="26">
        <f>(I61 + (7 - WEEKDAY(I61,1))) + 1</f>
        <v/>
      </c>
      <c r="L61" s="23">
        <f>F61*G61</f>
        <v/>
      </c>
    </row>
    <row r="62">
      <c r="G62" s="2" t="n"/>
      <c r="H62" s="2" t="n"/>
      <c r="I62" s="26">
        <f>DATE(YEAR(Setup!$C$4),MONTH(Setup!$C$4),DAY(Setup!$C$4)+((D62-1)*7)+(E62-WEEKDAY(DATE(YEAR(Setup!$C$4),MONTH(Setup!$C$4),DAY(Setup!$C$4)),1)))</f>
        <v/>
      </c>
      <c r="J62" s="26">
        <f>I62+3</f>
        <v/>
      </c>
      <c r="K62" s="26">
        <f>(I62 + (7 - WEEKDAY(I62,1))) + 1</f>
        <v/>
      </c>
      <c r="L62" s="23">
        <f>F62*G62</f>
        <v/>
      </c>
    </row>
    <row r="63">
      <c r="G63" s="2" t="n"/>
      <c r="H63" s="2" t="n"/>
      <c r="I63" s="26">
        <f>DATE(YEAR(Setup!$C$4),MONTH(Setup!$C$4),DAY(Setup!$C$4)+((D63-1)*7)+(E63-WEEKDAY(DATE(YEAR(Setup!$C$4),MONTH(Setup!$C$4),DAY(Setup!$C$4)),1)))</f>
        <v/>
      </c>
      <c r="J63" s="26">
        <f>I63+3</f>
        <v/>
      </c>
      <c r="K63" s="26">
        <f>(I63 + (7 - WEEKDAY(I63,1))) + 1</f>
        <v/>
      </c>
      <c r="L63" s="23">
        <f>F63*G63</f>
        <v/>
      </c>
    </row>
    <row r="64">
      <c r="G64" s="2" t="n"/>
      <c r="H64" s="2" t="n"/>
      <c r="I64" s="26">
        <f>DATE(YEAR(Setup!$C$4),MONTH(Setup!$C$4),DAY(Setup!$C$4)+((D64-1)*7)+(E64-WEEKDAY(DATE(YEAR(Setup!$C$4),MONTH(Setup!$C$4),DAY(Setup!$C$4)),1)))</f>
        <v/>
      </c>
      <c r="J64" s="26">
        <f>I64+3</f>
        <v/>
      </c>
      <c r="K64" s="26">
        <f>(I64 + (7 - WEEKDAY(I64,1))) + 1</f>
        <v/>
      </c>
      <c r="L64" s="23">
        <f>F64*G64</f>
        <v/>
      </c>
    </row>
    <row r="65">
      <c r="G65" s="2" t="n"/>
      <c r="H65" s="2" t="n"/>
      <c r="I65" s="26">
        <f>DATE(YEAR(Setup!$C$4),MONTH(Setup!$C$4),DAY(Setup!$C$4)+((D65-1)*7)+(E65-WEEKDAY(DATE(YEAR(Setup!$C$4),MONTH(Setup!$C$4),DAY(Setup!$C$4)),1)))</f>
        <v/>
      </c>
      <c r="J65" s="26">
        <f>I65+3</f>
        <v/>
      </c>
      <c r="K65" s="26">
        <f>(I65 + (7 - WEEKDAY(I65,1))) + 1</f>
        <v/>
      </c>
      <c r="L65" s="23">
        <f>F65*G65</f>
        <v/>
      </c>
    </row>
    <row r="66">
      <c r="G66" s="2" t="n"/>
      <c r="H66" s="2" t="n"/>
      <c r="I66" s="26">
        <f>DATE(YEAR(Setup!$C$4),MONTH(Setup!$C$4),DAY(Setup!$C$4)+((D66-1)*7)+(E66-WEEKDAY(DATE(YEAR(Setup!$C$4),MONTH(Setup!$C$4),DAY(Setup!$C$4)),1)))</f>
        <v/>
      </c>
      <c r="J66" s="26">
        <f>I66+3</f>
        <v/>
      </c>
      <c r="K66" s="26">
        <f>(I66 + (7 - WEEKDAY(I66,1))) + 1</f>
        <v/>
      </c>
      <c r="L66" s="23">
        <f>F66*G66</f>
        <v/>
      </c>
    </row>
    <row r="67">
      <c r="G67" s="2" t="n"/>
      <c r="H67" s="2" t="n"/>
      <c r="I67" s="26">
        <f>DATE(YEAR(Setup!$C$4),MONTH(Setup!$C$4),DAY(Setup!$C$4)+((D67-1)*7)+(E67-WEEKDAY(DATE(YEAR(Setup!$C$4),MONTH(Setup!$C$4),DAY(Setup!$C$4)),1)))</f>
        <v/>
      </c>
      <c r="J67" s="26">
        <f>I67+3</f>
        <v/>
      </c>
      <c r="K67" s="26">
        <f>(I67 + (7 - WEEKDAY(I67,1))) + 1</f>
        <v/>
      </c>
      <c r="L67" s="23">
        <f>F67*G67</f>
        <v/>
      </c>
    </row>
    <row r="68">
      <c r="G68" s="2" t="n"/>
      <c r="H68" s="2" t="n"/>
      <c r="I68" s="26">
        <f>DATE(YEAR(Setup!$C$4),MONTH(Setup!$C$4),DAY(Setup!$C$4)+((D68-1)*7)+(E68-WEEKDAY(DATE(YEAR(Setup!$C$4),MONTH(Setup!$C$4),DAY(Setup!$C$4)),1)))</f>
        <v/>
      </c>
      <c r="J68" s="26">
        <f>I68+3</f>
        <v/>
      </c>
      <c r="K68" s="26">
        <f>(I68 + (7 - WEEKDAY(I68,1))) + 1</f>
        <v/>
      </c>
      <c r="L68" s="23">
        <f>F68*G68</f>
        <v/>
      </c>
    </row>
    <row r="69">
      <c r="G69" s="2" t="n"/>
      <c r="H69" s="2" t="n"/>
      <c r="I69" s="26">
        <f>DATE(YEAR(Setup!$C$4),MONTH(Setup!$C$4),DAY(Setup!$C$4)+((D69-1)*7)+(E69-WEEKDAY(DATE(YEAR(Setup!$C$4),MONTH(Setup!$C$4),DAY(Setup!$C$4)),1)))</f>
        <v/>
      </c>
      <c r="J69" s="26">
        <f>I69+3</f>
        <v/>
      </c>
      <c r="K69" s="26">
        <f>(I69 + (7 - WEEKDAY(I69,1))) + 1</f>
        <v/>
      </c>
      <c r="L69" s="23">
        <f>F69*G69</f>
        <v/>
      </c>
    </row>
    <row r="70">
      <c r="G70" s="2" t="n"/>
      <c r="H70" s="2" t="n"/>
      <c r="I70" s="26">
        <f>DATE(YEAR(Setup!$C$4),MONTH(Setup!$C$4),DAY(Setup!$C$4)+((D70-1)*7)+(E70-WEEKDAY(DATE(YEAR(Setup!$C$4),MONTH(Setup!$C$4),DAY(Setup!$C$4)),1)))</f>
        <v/>
      </c>
      <c r="J70" s="26">
        <f>I70+3</f>
        <v/>
      </c>
      <c r="K70" s="26">
        <f>(I70 + (7 - WEEKDAY(I70,1))) + 1</f>
        <v/>
      </c>
      <c r="L70" s="23">
        <f>F70*G70</f>
        <v/>
      </c>
    </row>
    <row r="71">
      <c r="G71" s="2" t="n"/>
      <c r="H71" s="2" t="n"/>
      <c r="I71" s="26">
        <f>DATE(YEAR(Setup!$C$4),MONTH(Setup!$C$4),DAY(Setup!$C$4)+((D71-1)*7)+(E71-WEEKDAY(DATE(YEAR(Setup!$C$4),MONTH(Setup!$C$4),DAY(Setup!$C$4)),1)))</f>
        <v/>
      </c>
      <c r="J71" s="26">
        <f>I71+3</f>
        <v/>
      </c>
      <c r="K71" s="26">
        <f>(I71 + (7 - WEEKDAY(I71,1))) + 1</f>
        <v/>
      </c>
      <c r="L71" s="23">
        <f>F71*G71</f>
        <v/>
      </c>
    </row>
    <row r="72">
      <c r="G72" s="2" t="n"/>
      <c r="H72" s="2" t="n"/>
      <c r="I72" s="26">
        <f>DATE(YEAR(Setup!$C$4),MONTH(Setup!$C$4),DAY(Setup!$C$4)+((D72-1)*7)+(E72-WEEKDAY(DATE(YEAR(Setup!$C$4),MONTH(Setup!$C$4),DAY(Setup!$C$4)),1)))</f>
        <v/>
      </c>
      <c r="J72" s="26">
        <f>I72+3</f>
        <v/>
      </c>
      <c r="K72" s="26">
        <f>(I72 + (7 - WEEKDAY(I72,1))) + 1</f>
        <v/>
      </c>
      <c r="L72" s="23">
        <f>F72*G72</f>
        <v/>
      </c>
    </row>
    <row r="73">
      <c r="G73" s="2" t="n"/>
      <c r="H73" s="2" t="n"/>
      <c r="I73" s="26">
        <f>DATE(YEAR(Setup!$C$4),MONTH(Setup!$C$4),DAY(Setup!$C$4)+((D73-1)*7)+(E73-WEEKDAY(DATE(YEAR(Setup!$C$4),MONTH(Setup!$C$4),DAY(Setup!$C$4)),1)))</f>
        <v/>
      </c>
      <c r="J73" s="26">
        <f>I73+3</f>
        <v/>
      </c>
      <c r="K73" s="26">
        <f>(I73 + (7 - WEEKDAY(I73,1))) + 1</f>
        <v/>
      </c>
      <c r="L73" s="23">
        <f>F73*G73</f>
        <v/>
      </c>
    </row>
    <row r="74">
      <c r="G74" s="2" t="n"/>
      <c r="H74" s="2" t="n"/>
      <c r="I74" s="26">
        <f>DATE(YEAR(Setup!$C$4),MONTH(Setup!$C$4),DAY(Setup!$C$4)+((D74-1)*7)+(E74-WEEKDAY(DATE(YEAR(Setup!$C$4),MONTH(Setup!$C$4),DAY(Setup!$C$4)),1)))</f>
        <v/>
      </c>
      <c r="J74" s="26">
        <f>I74+3</f>
        <v/>
      </c>
      <c r="K74" s="26">
        <f>(I74 + (7 - WEEKDAY(I74,1))) + 1</f>
        <v/>
      </c>
      <c r="L74" s="23">
        <f>F74*G74</f>
        <v/>
      </c>
    </row>
    <row r="75">
      <c r="G75" s="2" t="n"/>
      <c r="H75" s="2" t="n"/>
      <c r="I75" s="26">
        <f>DATE(YEAR(Setup!$C$4),MONTH(Setup!$C$4),DAY(Setup!$C$4)+((D75-1)*7)+(E75-WEEKDAY(DATE(YEAR(Setup!$C$4),MONTH(Setup!$C$4),DAY(Setup!$C$4)),1)))</f>
        <v/>
      </c>
      <c r="J75" s="26">
        <f>I75+3</f>
        <v/>
      </c>
      <c r="K75" s="26">
        <f>(I75 + (7 - WEEKDAY(I75,1))) + 1</f>
        <v/>
      </c>
      <c r="L75" s="23">
        <f>F75*G75</f>
        <v/>
      </c>
    </row>
    <row r="76">
      <c r="G76" s="2" t="n"/>
      <c r="H76" s="2" t="n"/>
      <c r="I76" s="26">
        <f>DATE(YEAR(Setup!$C$4),MONTH(Setup!$C$4),DAY(Setup!$C$4)+((D76-1)*7)+(E76-WEEKDAY(DATE(YEAR(Setup!$C$4),MONTH(Setup!$C$4),DAY(Setup!$C$4)),1)))</f>
        <v/>
      </c>
      <c r="J76" s="26">
        <f>I76+3</f>
        <v/>
      </c>
      <c r="K76" s="26">
        <f>(I76 + (7 - WEEKDAY(I76,1))) + 1</f>
        <v/>
      </c>
      <c r="L76" s="23">
        <f>F76*G76</f>
        <v/>
      </c>
    </row>
    <row r="77">
      <c r="G77" s="2" t="n"/>
      <c r="H77" s="2" t="n"/>
      <c r="I77" s="26">
        <f>DATE(YEAR(Setup!$C$4),MONTH(Setup!$C$4),DAY(Setup!$C$4)+((D77-1)*7)+(E77-WEEKDAY(DATE(YEAR(Setup!$C$4),MONTH(Setup!$C$4),DAY(Setup!$C$4)),1)))</f>
        <v/>
      </c>
      <c r="J77" s="26">
        <f>I77+3</f>
        <v/>
      </c>
      <c r="K77" s="26">
        <f>(I77 + (7 - WEEKDAY(I77,1))) + 1</f>
        <v/>
      </c>
      <c r="L77" s="23">
        <f>F77*G77</f>
        <v/>
      </c>
    </row>
    <row r="78">
      <c r="G78" s="2" t="n"/>
      <c r="H78" s="2" t="n"/>
      <c r="I78" s="26">
        <f>DATE(YEAR(Setup!$C$4),MONTH(Setup!$C$4),DAY(Setup!$C$4)+((D78-1)*7)+(E78-WEEKDAY(DATE(YEAR(Setup!$C$4),MONTH(Setup!$C$4),DAY(Setup!$C$4)),1)))</f>
        <v/>
      </c>
      <c r="J78" s="26">
        <f>I78+3</f>
        <v/>
      </c>
      <c r="K78" s="26">
        <f>(I78 + (7 - WEEKDAY(I78,1))) + 1</f>
        <v/>
      </c>
      <c r="L78" s="23">
        <f>F78*G78</f>
        <v/>
      </c>
    </row>
    <row r="79">
      <c r="G79" s="2" t="n"/>
      <c r="H79" s="2" t="n"/>
      <c r="I79" s="26">
        <f>DATE(YEAR(Setup!$C$4),MONTH(Setup!$C$4),DAY(Setup!$C$4)+((D79-1)*7)+(E79-WEEKDAY(DATE(YEAR(Setup!$C$4),MONTH(Setup!$C$4),DAY(Setup!$C$4)),1)))</f>
        <v/>
      </c>
      <c r="J79" s="26">
        <f>I79+3</f>
        <v/>
      </c>
      <c r="K79" s="26">
        <f>(I79 + (7 - WEEKDAY(I79,1))) + 1</f>
        <v/>
      </c>
      <c r="L79" s="23">
        <f>F79*G79</f>
        <v/>
      </c>
    </row>
    <row r="80">
      <c r="G80" s="2" t="n"/>
      <c r="H80" s="2" t="n"/>
      <c r="I80" s="26">
        <f>DATE(YEAR(Setup!$C$4),MONTH(Setup!$C$4),DAY(Setup!$C$4)+((D80-1)*7)+(E80-WEEKDAY(DATE(YEAR(Setup!$C$4),MONTH(Setup!$C$4),DAY(Setup!$C$4)),1)))</f>
        <v/>
      </c>
      <c r="J80" s="26">
        <f>I80+3</f>
        <v/>
      </c>
      <c r="K80" s="26">
        <f>(I80 + (7 - WEEKDAY(I80,1))) + 1</f>
        <v/>
      </c>
      <c r="L80" s="23">
        <f>F80*G80</f>
        <v/>
      </c>
    </row>
    <row r="81">
      <c r="G81" s="2" t="n"/>
      <c r="H81" s="2" t="n"/>
      <c r="I81" s="26">
        <f>DATE(YEAR(Setup!$C$4),MONTH(Setup!$C$4),DAY(Setup!$C$4)+((D81-1)*7)+(E81-WEEKDAY(DATE(YEAR(Setup!$C$4),MONTH(Setup!$C$4),DAY(Setup!$C$4)),1)))</f>
        <v/>
      </c>
      <c r="J81" s="26">
        <f>I81+3</f>
        <v/>
      </c>
      <c r="K81" s="26">
        <f>(I81 + (7 - WEEKDAY(I81,1))) + 1</f>
        <v/>
      </c>
      <c r="L81" s="23">
        <f>F81*G81</f>
        <v/>
      </c>
    </row>
    <row r="82">
      <c r="G82" s="2" t="n"/>
      <c r="H82" s="2" t="n"/>
      <c r="I82" s="26">
        <f>DATE(YEAR(Setup!$C$4),MONTH(Setup!$C$4),DAY(Setup!$C$4)+((D82-1)*7)+(E82-WEEKDAY(DATE(YEAR(Setup!$C$4),MONTH(Setup!$C$4),DAY(Setup!$C$4)),1)))</f>
        <v/>
      </c>
      <c r="J82" s="26">
        <f>I82+3</f>
        <v/>
      </c>
      <c r="K82" s="26">
        <f>(I82 + (7 - WEEKDAY(I82,1))) + 1</f>
        <v/>
      </c>
      <c r="L82" s="23">
        <f>F82*G82</f>
        <v/>
      </c>
    </row>
    <row r="83">
      <c r="G83" s="2" t="n"/>
      <c r="H83" s="2" t="n"/>
      <c r="I83" s="26">
        <f>DATE(YEAR(Setup!$C$4),MONTH(Setup!$C$4),DAY(Setup!$C$4)+((D83-1)*7)+(E83-WEEKDAY(DATE(YEAR(Setup!$C$4),MONTH(Setup!$C$4),DAY(Setup!$C$4)),1)))</f>
        <v/>
      </c>
      <c r="J83" s="26">
        <f>I83+3</f>
        <v/>
      </c>
      <c r="K83" s="26">
        <f>(I83 + (7 - WEEKDAY(I83,1))) + 1</f>
        <v/>
      </c>
      <c r="L83" s="23">
        <f>F83*G83</f>
        <v/>
      </c>
    </row>
    <row r="84">
      <c r="G84" s="2" t="n"/>
      <c r="H84" s="2" t="n"/>
      <c r="I84" s="26">
        <f>DATE(YEAR(Setup!$C$4),MONTH(Setup!$C$4),DAY(Setup!$C$4)+((D84-1)*7)+(E84-WEEKDAY(DATE(YEAR(Setup!$C$4),MONTH(Setup!$C$4),DAY(Setup!$C$4)),1)))</f>
        <v/>
      </c>
      <c r="J84" s="26">
        <f>I84+3</f>
        <v/>
      </c>
      <c r="K84" s="26">
        <f>(I84 + (7 - WEEKDAY(I84,1))) + 1</f>
        <v/>
      </c>
      <c r="L84" s="23">
        <f>F84*G84</f>
        <v/>
      </c>
    </row>
  </sheetData>
  <sheetProtection selectLockedCells="1" selectUnlockedCells="0" algorithmName="SHA-512" sheet="1" objects="0" insertRows="0" insertHyperlinks="1" autoFilter="0" scenarios="0" formatColumns="1" deleteColumns="1" insertColumns="1" pivotTables="1" deleteRows="0" formatCells="0" saltValue="bw7djZrR7QCySoA6XE6yVg==" formatRows="0" sort="0" spinCount="100000" hashValue="CWr8QprBXNB5Dgw4JRfVRKK8OiLb2+ca9gkXKUNECT0/6ed2B35wimEqW2iiMdw+KYmmnhNWXWpdodphekTPTQ=="/>
  <autoFilter ref="A1:N84">
    <sortState ref="A2:N84">
      <sortCondition ref="D1:D84"/>
    </sortState>
  </autoFilter>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6.xml><?xml version="1.0" encoding="utf-8"?>
<worksheet xmlns="http://schemas.openxmlformats.org/spreadsheetml/2006/main">
  <sheetPr codeName="Sheet14">
    <tabColor rgb="FF00B050"/>
    <outlinePr summaryBelow="1" summaryRight="1"/>
    <pageSetUpPr/>
  </sheetPr>
  <dimension ref="A1:N32"/>
  <sheetViews>
    <sheetView workbookViewId="0">
      <pane xSplit="6" topLeftCell="G1" activePane="topRight" state="frozen"/>
      <selection pane="topRight" activeCell="A2" sqref="A2"/>
    </sheetView>
  </sheetViews>
  <sheetFormatPr baseColWidth="8" defaultColWidth="8.85546875" defaultRowHeight="15"/>
  <cols>
    <col width="13" customWidth="1" style="83" min="1" max="1"/>
    <col width="24.28515625" customWidth="1" style="27" min="2" max="2"/>
    <col width="41.7109375" bestFit="1" customWidth="1" style="27" min="3" max="3"/>
    <col width="14.42578125" customWidth="1" style="83" min="4" max="4"/>
    <col width="14" customWidth="1" style="83" min="5" max="6"/>
    <col width="14.140625" customWidth="1" style="83" min="7" max="7"/>
    <col hidden="1" width="14.140625" customWidth="1" style="83" min="8" max="8"/>
    <col hidden="1" width="22" customWidth="1" style="83" min="9" max="9"/>
    <col hidden="1" width="15.28515625" customWidth="1" style="83" min="10" max="10"/>
    <col hidden="1" width="17.7109375" customWidth="1" style="83" min="11" max="11"/>
    <col hidden="1" width="12.85546875" customWidth="1" style="83" min="12" max="12"/>
    <col width="54.7109375" bestFit="1" customWidth="1" style="27" min="13" max="13"/>
    <col width="119.140625" customWidth="1" style="27" min="14" max="14"/>
    <col width="8.85546875" customWidth="1" style="27" min="15" max="16384"/>
  </cols>
  <sheetData>
    <row r="1" ht="30" customFormat="1" customHeight="1" s="80">
      <c r="A1" s="80" t="inlineStr">
        <is>
          <t>Course</t>
        </is>
      </c>
      <c r="B1" s="80" t="inlineStr">
        <is>
          <t>Action Type</t>
        </is>
      </c>
      <c r="C1" s="80" t="inlineStr">
        <is>
          <t>Assignment</t>
        </is>
      </c>
      <c r="D1" s="81" t="inlineStr">
        <is>
          <t>Week of Outreach</t>
        </is>
      </c>
      <c r="E1" s="81" t="inlineStr">
        <is>
          <t>Day of Outreach</t>
        </is>
      </c>
      <c r="F1" s="81" t="inlineStr">
        <is>
          <t>Points Possible</t>
        </is>
      </c>
      <c r="G1" s="81" t="inlineStr">
        <is>
          <t>% + or - for Outreach</t>
        </is>
      </c>
      <c r="H1" s="80" t="inlineStr">
        <is>
          <t>Configured</t>
        </is>
      </c>
      <c r="I1" s="80" t="inlineStr">
        <is>
          <t xml:space="preserve">Start Date </t>
        </is>
      </c>
      <c r="J1" s="80" t="inlineStr">
        <is>
          <t>Due Date</t>
        </is>
      </c>
      <c r="K1" s="80" t="inlineStr">
        <is>
          <t>Expire Date</t>
        </is>
      </c>
      <c r="L1" s="80" t="inlineStr">
        <is>
          <t>Score</t>
        </is>
      </c>
      <c r="M1" s="82" t="inlineStr">
        <is>
          <t>Reason for Outreach Title (Drop Down in IMS)</t>
        </is>
      </c>
      <c r="N1" s="82" t="inlineStr">
        <is>
          <t>Description/Prompt in IMS</t>
        </is>
      </c>
    </row>
    <row r="2">
      <c r="A2" s="23" t="inlineStr">
        <is>
          <t>ITM111</t>
        </is>
      </c>
      <c r="B2" s="1" t="inlineStr">
        <is>
          <t>New Student Added</t>
        </is>
      </c>
      <c r="C2" s="1" t="inlineStr">
        <is>
          <t>Novo Estudante Adicionado</t>
        </is>
      </c>
      <c r="D2" s="23" t="n">
        <v>0</v>
      </c>
      <c r="E2" s="23" t="n">
        <v>2</v>
      </c>
      <c r="F2" s="23" t="n"/>
      <c r="G2" s="24" t="n"/>
      <c r="H2" s="24" t="inlineStr">
        <is>
          <t>y</t>
        </is>
      </c>
      <c r="I2" s="84">
        <f>DATE(YEAR(Setup!$C$4),MONTH(Setup!$C$4),DAY(Setup!$C$4)+((D2-1)*7)+(E2-WEEKDAY(DATE(YEAR(Setup!$C$4),MONTH(Setup!$C$4),DAY(Setup!$C$4)),1)))</f>
        <v/>
      </c>
      <c r="J2" s="84">
        <f>I2+3</f>
        <v/>
      </c>
      <c r="K2" s="84">
        <f>(I2 + (7 - WEEKDAY(I2,1))) + 1</f>
        <v/>
      </c>
      <c r="L2" s="83">
        <f>F2*G2</f>
        <v/>
      </c>
      <c r="M2" s="1" t="inlineStr">
        <is>
          <t>E-mail de Boas-vindas</t>
        </is>
      </c>
      <c r="N2" s="37" t="inlineStr">
        <is>
          <t>Envie uma mensagem para os novos alunos para dar as boas-vindas à aula e ajudá-los a enviar as tarefas que perderam.</t>
        </is>
      </c>
    </row>
    <row r="3">
      <c r="A3" s="23" t="inlineStr">
        <is>
          <t>ITM111</t>
        </is>
      </c>
      <c r="B3" s="1" t="inlineStr">
        <is>
          <t>Scheduled - Not Logged In</t>
        </is>
      </c>
      <c r="C3" s="1" t="inlineStr">
        <is>
          <t>Não Realizou Login</t>
        </is>
      </c>
      <c r="D3" s="23" t="n">
        <v>1</v>
      </c>
      <c r="E3" s="23" t="n">
        <v>4</v>
      </c>
      <c r="F3" s="23" t="n"/>
      <c r="G3" s="24" t="n"/>
      <c r="H3" s="24" t="inlineStr">
        <is>
          <t>y</t>
        </is>
      </c>
      <c r="I3" s="84">
        <f>DATE(YEAR(Setup!$C$4),MONTH(Setup!$C$4),DAY(Setup!$C$4)+((D3-1)*7)+(E3-WEEKDAY(DATE(YEAR(Setup!$C$4),MONTH(Setup!$C$4),DAY(Setup!$C$4)),1)))</f>
        <v/>
      </c>
      <c r="J3" s="84">
        <f>I3+3</f>
        <v/>
      </c>
      <c r="K3" s="84">
        <f>(I3 + (7 - WEEKDAY(I3,1))) + 1</f>
        <v/>
      </c>
      <c r="L3" s="83">
        <f>F3*G3</f>
        <v/>
      </c>
      <c r="M3" s="1" t="inlineStr">
        <is>
          <t>Não fez login no Canvas</t>
        </is>
      </c>
      <c r="N3" s="43" t="inlineStr">
        <is>
          <t>Envie um e-mail (fora do IMS) para os estudantes que não fizeram login no Canvas, lembrando-os de que o período letivo começou e incentivando-os a começar.</t>
        </is>
      </c>
    </row>
    <row r="4">
      <c r="A4" s="23" t="inlineStr">
        <is>
          <t>ITM111</t>
        </is>
      </c>
      <c r="B4" s="1" t="inlineStr">
        <is>
          <t>Missing Assignment</t>
        </is>
      </c>
      <c r="C4" s="69" t="inlineStr">
        <is>
          <t>Atividade S01: Dados em Formato Tabular</t>
        </is>
      </c>
      <c r="D4" s="23" t="n">
        <v>2</v>
      </c>
      <c r="E4" s="23" t="n">
        <v>2</v>
      </c>
      <c r="F4" s="23" t="n">
        <v>40</v>
      </c>
      <c r="G4" s="24" t="inlineStr">
        <is>
          <t xml:space="preserve"> </t>
        </is>
      </c>
      <c r="H4" s="24" t="inlineStr">
        <is>
          <t>y</t>
        </is>
      </c>
      <c r="I4" s="84">
        <f>DATE(YEAR(Setup!$C$4),MONTH(Setup!$C$4),DAY(Setup!$C$4)+((D4-1)*7)+(E4-WEEKDAY(DATE(YEAR(Setup!$C$4),MONTH(Setup!$C$4),DAY(Setup!$C$4)),1)))</f>
        <v/>
      </c>
      <c r="J4" s="84">
        <f>I4+3</f>
        <v/>
      </c>
      <c r="K4" s="84">
        <f>(I4 + (7 - WEEKDAY(I4,1))) + 1</f>
        <v/>
      </c>
      <c r="L4" s="83">
        <f>F4*G4</f>
        <v/>
      </c>
      <c r="M4" s="1" t="inlineStr">
        <is>
          <t>Tarefa Pendente: Tarefa da W01: Dados em Formato Tabular</t>
        </is>
      </c>
      <c r="N4" s="1" t="inlineStr">
        <is>
          <t>Entre em contato com o estudante que não entregou a Tarefa W01: Data in a Tabular Format</t>
        </is>
      </c>
    </row>
    <row r="5">
      <c r="A5" s="23" t="inlineStr">
        <is>
          <t>ITM111</t>
        </is>
      </c>
      <c r="B5" s="1" t="inlineStr">
        <is>
          <t>Quiz Question</t>
        </is>
      </c>
      <c r="C5" s="1" t="inlineStr">
        <is>
          <t>S01 Atualização de Status de 60 Segundos: NeedHelp Resposta: Sim</t>
        </is>
      </c>
      <c r="D5" s="23" t="n">
        <v>2</v>
      </c>
      <c r="E5" s="23" t="n">
        <v>2</v>
      </c>
      <c r="F5" s="23" t="n"/>
      <c r="G5" s="24" t="n"/>
      <c r="H5" s="24" t="inlineStr">
        <is>
          <t>y</t>
        </is>
      </c>
      <c r="I5" s="84">
        <f>DATE(YEAR(Setup!$C$4),MONTH(Setup!$C$4),DAY(Setup!$C$4)+((D5-1)*7)+(E5-WEEKDAY(DATE(YEAR(Setup!$C$4),MONTH(Setup!$C$4),DAY(Setup!$C$4)),1)))</f>
        <v/>
      </c>
      <c r="J5" s="84">
        <f>I5+3</f>
        <v/>
      </c>
      <c r="K5" s="84">
        <f>(I5 + (7 - WEEKDAY(I5,1))) + 1</f>
        <v/>
      </c>
      <c r="L5" s="83">
        <f>F5*G5</f>
        <v/>
      </c>
      <c r="M5" s="1" t="inlineStr">
        <is>
          <t>Resposta à Atualização de Status de 60 segundos da W01. O aluno se sente sobrecarregado.</t>
        </is>
      </c>
      <c r="N5" s="1" t="inlineStr">
        <is>
          <t>O aluno respondeu que se sente sobrecarregado na Atualização de Status de 60 segundos da W01. Entre em contato com o aluno para ver como você pode ajudar.</t>
        </is>
      </c>
    </row>
    <row r="6">
      <c r="A6" s="83" t="inlineStr">
        <is>
          <t>ITM111</t>
        </is>
      </c>
      <c r="B6" s="27" t="inlineStr">
        <is>
          <t>Grader-Issued 0</t>
        </is>
      </c>
      <c r="C6" s="8" t="inlineStr">
        <is>
          <t>Atividade S01: Dados em Formato Tabular</t>
        </is>
      </c>
      <c r="D6" s="83" t="n">
        <v>2</v>
      </c>
      <c r="E6" s="83" t="n">
        <v>4</v>
      </c>
      <c r="F6" s="83" t="n">
        <v>40</v>
      </c>
      <c r="G6" s="86" t="n"/>
      <c r="H6" s="86" t="inlineStr">
        <is>
          <t>y</t>
        </is>
      </c>
      <c r="I6" s="84">
        <f>DATE(YEAR(Setup!$C$4),MONTH(Setup!$C$4),DAY(Setup!$C$4)+((D6-1)*7)+(E6-WEEKDAY(DATE(YEAR(Setup!$C$4),MONTH(Setup!$C$4),DAY(Setup!$C$4)),1)))</f>
        <v/>
      </c>
      <c r="J6" s="84">
        <f>I6+3</f>
        <v/>
      </c>
      <c r="K6" s="84">
        <f>(I6 + (7 - WEEKDAY(I6,1))) + 1</f>
        <v/>
      </c>
      <c r="L6" s="83">
        <f>F6*G6</f>
        <v/>
      </c>
      <c r="M6" s="27" t="inlineStr">
        <is>
          <t>O estudante recebeu nota 0 atribuída pelo avaliador na Tarefa da W01: Dados em Formato Tabular</t>
        </is>
      </c>
      <c r="N6" s="8" t="inlineStr">
        <is>
          <t>O avaliador atribuiu nota 0 para: Tarefa da W01: Dados em Formato Tabular. Faça login no Canvas e veja os comentários do avaliador. Trabalhe com o estudante para ajudá-lo a reenviar.</t>
        </is>
      </c>
    </row>
    <row r="7" customFormat="1" s="1">
      <c r="A7" s="23" t="inlineStr">
        <is>
          <t>ITM111</t>
        </is>
      </c>
      <c r="B7" s="1" t="inlineStr">
        <is>
          <t>High Performance</t>
        </is>
      </c>
      <c r="C7" s="45" t="inlineStr">
        <is>
          <t>Atividade S01: Dados em Formato Tabular</t>
        </is>
      </c>
      <c r="D7" s="23" t="n">
        <v>2</v>
      </c>
      <c r="E7" s="23" t="n">
        <v>5</v>
      </c>
      <c r="F7" s="23" t="n">
        <v>40</v>
      </c>
      <c r="G7" s="24" t="n">
        <v>0.9</v>
      </c>
      <c r="H7" s="24" t="inlineStr">
        <is>
          <t>y</t>
        </is>
      </c>
      <c r="I7" s="84">
        <f>DATE(YEAR(Setup!$C$4),MONTH(Setup!$C$4),DAY(Setup!$C$4)+((D7-1)*7)+(E7-WEEKDAY(DATE(YEAR(Setup!$C$4),MONTH(Setup!$C$4),DAY(Setup!$C$4)),1)))</f>
        <v/>
      </c>
      <c r="J7" s="84">
        <f>I7+3</f>
        <v/>
      </c>
      <c r="K7" s="84">
        <f>(I7 + (7 - WEEKDAY(I7,1))) + 1</f>
        <v/>
      </c>
      <c r="L7" s="83">
        <f>F7*G7</f>
        <v/>
      </c>
      <c r="M7" s="1" t="inlineStr">
        <is>
          <t>Alto desempenho: Tarefa W01: Dados em formato tabular</t>
        </is>
      </c>
      <c r="N7" s="1" t="inlineStr">
        <is>
          <t>Forneça feedback positivo na Tarefa W01: Data in a Tabular Format</t>
        </is>
      </c>
    </row>
    <row r="8" customFormat="1" s="1">
      <c r="A8" s="23" t="inlineStr">
        <is>
          <t>ITM111</t>
        </is>
      </c>
      <c r="B8" s="1" t="inlineStr">
        <is>
          <t>Low Performance</t>
        </is>
      </c>
      <c r="C8" s="69" t="inlineStr">
        <is>
          <t>Atividade S01: Dados em Formato Tabular</t>
        </is>
      </c>
      <c r="D8" s="23" t="n">
        <v>2</v>
      </c>
      <c r="E8" s="23" t="n">
        <v>5</v>
      </c>
      <c r="F8" s="23" t="n">
        <v>40</v>
      </c>
      <c r="G8" s="24" t="n">
        <v>0.7</v>
      </c>
      <c r="H8" s="24" t="inlineStr">
        <is>
          <t>y</t>
        </is>
      </c>
      <c r="I8" s="84">
        <f>DATE(YEAR(Setup!$C$4),MONTH(Setup!$C$4),DAY(Setup!$C$4)+((D8-1)*7)+(E8-WEEKDAY(DATE(YEAR(Setup!$C$4),MONTH(Setup!$C$4),DAY(Setup!$C$4)),1)))</f>
        <v/>
      </c>
      <c r="J8" s="84">
        <f>I8+3</f>
        <v/>
      </c>
      <c r="K8" s="84">
        <f>(I8 + (7 - WEEKDAY(I8,1))) + 1</f>
        <v/>
      </c>
      <c r="L8" s="83">
        <f>F8*G8</f>
        <v/>
      </c>
      <c r="M8" s="1" t="inlineStr">
        <is>
          <t>Baixo desempenho: Tarefa W01: Dados em formato tabular</t>
        </is>
      </c>
      <c r="N8" s="1" t="inlineStr">
        <is>
          <t>Em risco. O aluno pontuou abaixo de 70% na Tarefa da W01: Dados em Formato Tabular. Entre em contato para ver como pode ajudar.</t>
        </is>
      </c>
    </row>
    <row r="9" ht="15.95" customFormat="1" customHeight="1" s="1">
      <c r="A9" s="23" t="inlineStr">
        <is>
          <t>ITM111</t>
        </is>
      </c>
      <c r="B9" s="1" t="inlineStr">
        <is>
          <t>Missing Assignment</t>
        </is>
      </c>
      <c r="C9" s="69" t="inlineStr">
        <is>
          <t>S02 Atividade: Projeto de Banco de Dados</t>
        </is>
      </c>
      <c r="D9" s="23" t="n">
        <v>3</v>
      </c>
      <c r="E9" s="23" t="n">
        <v>2</v>
      </c>
      <c r="F9" s="23" t="n">
        <v>40</v>
      </c>
      <c r="G9" s="24" t="n"/>
      <c r="H9" s="24" t="inlineStr">
        <is>
          <t>y</t>
        </is>
      </c>
      <c r="I9" s="84">
        <f>DATE(YEAR(Setup!$C$4),MONTH(Setup!$C$4),DAY(Setup!$C$4)+((D9-1)*7)+(E9-WEEKDAY(DATE(YEAR(Setup!$C$4),MONTH(Setup!$C$4),DAY(Setup!$C$4)),1)))</f>
        <v/>
      </c>
      <c r="J9" s="84">
        <f>I9+3</f>
        <v/>
      </c>
      <c r="K9" s="84">
        <f>(I9 + (7 - WEEKDAY(I9,1))) + 1</f>
        <v/>
      </c>
      <c r="L9" s="83">
        <f>F9*G9</f>
        <v/>
      </c>
      <c r="M9" s="1" t="inlineStr">
        <is>
          <t>Tarefa Não Entregue: Tarefa da W02: Projeto de Banco de Dados</t>
        </is>
      </c>
      <c r="N9" s="3" t="inlineStr">
        <is>
          <t>Entre em contato com o aluno que não entregou a Tarefa da W02: Projeto de Banco de Dados</t>
        </is>
      </c>
    </row>
    <row r="10" customFormat="1" s="1">
      <c r="A10" s="23" t="inlineStr">
        <is>
          <t>ITM111</t>
        </is>
      </c>
      <c r="B10" s="1" t="inlineStr">
        <is>
          <t>Quiz Question</t>
        </is>
      </c>
      <c r="C10" s="1" t="inlineStr">
        <is>
          <t>S02 Atualização de Status de 60 segundos: NeedHelp Resposta: Sim</t>
        </is>
      </c>
      <c r="D10" s="23" t="n">
        <v>3</v>
      </c>
      <c r="E10" s="23" t="n">
        <v>2</v>
      </c>
      <c r="F10" s="23" t="n"/>
      <c r="G10" s="24" t="n"/>
      <c r="H10" s="24" t="inlineStr">
        <is>
          <t>y</t>
        </is>
      </c>
      <c r="I10" s="84">
        <f>DATE(YEAR(Setup!$C$4),MONTH(Setup!$C$4),DAY(Setup!$C$4)+((D10-1)*7)+(E10-WEEKDAY(DATE(YEAR(Setup!$C$4),MONTH(Setup!$C$4),DAY(Setup!$C$4)),1)))</f>
        <v/>
      </c>
      <c r="J10" s="84">
        <f>I10+3</f>
        <v/>
      </c>
      <c r="K10" s="84">
        <f>(I10 + (7 - WEEKDAY(I10,1))) + 1</f>
        <v/>
      </c>
      <c r="L10" s="83">
        <f>F10*G10</f>
        <v/>
      </c>
      <c r="M10" s="1" t="inlineStr">
        <is>
          <t>Resposta à Tarefa de 60 segundos da W02: Projeto de Banco de Dados</t>
        </is>
      </c>
      <c r="N10" s="1" t="inlineStr">
        <is>
          <t>O aluno respondeu que está se sentindo sobrecarregado na Atualização de Status de 60 segundos da W02. Entre em contato com o aluno para ver como você pode ajudar.</t>
        </is>
      </c>
    </row>
    <row r="11" customFormat="1" s="1">
      <c r="A11" s="83" t="inlineStr">
        <is>
          <t>ITM111</t>
        </is>
      </c>
      <c r="B11" s="27" t="inlineStr">
        <is>
          <t>Grader-Issued 0</t>
        </is>
      </c>
      <c r="C11" s="27" t="inlineStr">
        <is>
          <t>S02 Atividade: Projeto de Banco de Dados</t>
        </is>
      </c>
      <c r="D11" s="83" t="n">
        <v>3</v>
      </c>
      <c r="E11" s="83" t="n">
        <v>4</v>
      </c>
      <c r="F11" s="83" t="n">
        <v>40</v>
      </c>
      <c r="G11" s="86" t="n"/>
      <c r="H11" s="86" t="inlineStr">
        <is>
          <t>y</t>
        </is>
      </c>
      <c r="I11" s="84">
        <f>DATE(YEAR(Setup!$C$4),MONTH(Setup!$C$4),DAY(Setup!$C$4)+((D11-1)*7)+(E11-WEEKDAY(DATE(YEAR(Setup!$C$4),MONTH(Setup!$C$4),DAY(Setup!$C$4)),1)))</f>
        <v/>
      </c>
      <c r="J11" s="84">
        <f>I11+3</f>
        <v/>
      </c>
      <c r="K11" s="84">
        <f>(I11 + (7 - WEEKDAY(I11,1))) + 1</f>
        <v/>
      </c>
      <c r="L11" s="83">
        <f>F11*G11</f>
        <v/>
      </c>
      <c r="M11" s="27" t="inlineStr">
        <is>
          <t>O aluno recebeu uma nota 0 atribuída pelo avaliador na Tarefa da W02: Explorando o Workbench</t>
        </is>
      </c>
      <c r="N11" s="8" t="inlineStr">
        <is>
          <t>O avaliador atribuiu nota 0 para a Tarefa W02: Database Design. Acesse o Canvas e veja os comentários do avaliador. Trabalhe com o estudante para ajudá-lo a enviar novamente.</t>
        </is>
      </c>
    </row>
    <row r="12" ht="15.95" customFormat="1" customHeight="1" s="1">
      <c r="A12" s="23" t="inlineStr">
        <is>
          <t>ITM111</t>
        </is>
      </c>
      <c r="B12" s="1" t="inlineStr">
        <is>
          <t>High Performance</t>
        </is>
      </c>
      <c r="C12" s="69" t="inlineStr">
        <is>
          <t>S02 Atividade: Projeto de Banco de Dados</t>
        </is>
      </c>
      <c r="D12" s="23" t="n">
        <v>3</v>
      </c>
      <c r="E12" s="23" t="n">
        <v>5</v>
      </c>
      <c r="F12" s="23" t="n">
        <v>40</v>
      </c>
      <c r="G12" s="24" t="n">
        <v>0.9</v>
      </c>
      <c r="H12" s="24" t="inlineStr">
        <is>
          <t>y</t>
        </is>
      </c>
      <c r="I12" s="84">
        <f>DATE(YEAR(Setup!$C$4),MONTH(Setup!$C$4),DAY(Setup!$C$4)+((D12-1)*7)+(E12-WEEKDAY(DATE(YEAR(Setup!$C$4),MONTH(Setup!$C$4),DAY(Setup!$C$4)),1)))</f>
        <v/>
      </c>
      <c r="J12" s="84">
        <f>I12+3</f>
        <v/>
      </c>
      <c r="K12" s="84">
        <f>(I12 + (7 - WEEKDAY(I12,1))) + 1</f>
        <v/>
      </c>
      <c r="L12" s="83">
        <f>F12*G12</f>
        <v/>
      </c>
      <c r="M12" s="1" t="inlineStr">
        <is>
          <t>Alto Desempenho: Tarefa da W02: Design de Banco de Dados</t>
        </is>
      </c>
      <c r="N12" s="3" t="inlineStr">
        <is>
          <t>Forneça feedback positivo na Tarefa W02: Database Design</t>
        </is>
      </c>
    </row>
    <row r="13" ht="15.95" customFormat="1" customHeight="1" s="1">
      <c r="A13" s="23" t="inlineStr">
        <is>
          <t>ITM111</t>
        </is>
      </c>
      <c r="B13" s="1" t="inlineStr">
        <is>
          <t>Low Performance</t>
        </is>
      </c>
      <c r="C13" s="69" t="inlineStr">
        <is>
          <t>S02 Atividade: Projeto de Banco de Dados</t>
        </is>
      </c>
      <c r="D13" s="23" t="n">
        <v>3</v>
      </c>
      <c r="E13" s="23" t="n">
        <v>5</v>
      </c>
      <c r="F13" s="23" t="n">
        <v>40</v>
      </c>
      <c r="G13" s="24" t="n">
        <v>0.7</v>
      </c>
      <c r="H13" s="24" t="inlineStr">
        <is>
          <t>y</t>
        </is>
      </c>
      <c r="I13" s="84">
        <f>DATE(YEAR(Setup!$C$4),MONTH(Setup!$C$4),DAY(Setup!$C$4)+((D13-1)*7)+(E13-WEEKDAY(DATE(YEAR(Setup!$C$4),MONTH(Setup!$C$4),DAY(Setup!$C$4)),1)))</f>
        <v/>
      </c>
      <c r="J13" s="84">
        <f>I13+3</f>
        <v/>
      </c>
      <c r="K13" s="84">
        <f>(I13 + (7 - WEEKDAY(I13,1))) + 1</f>
        <v/>
      </c>
      <c r="L13" s="83">
        <f>F13*G13</f>
        <v/>
      </c>
      <c r="M13" s="1" t="inlineStr">
        <is>
          <t>Baixo Desempenho: Tarefa da W02: Design de Banco de Dados</t>
        </is>
      </c>
      <c r="N13" s="3" t="inlineStr">
        <is>
          <t>Em risco. O estudante obteve nota abaixo de 70% na Tarefa W02: Database Design. Entre em contato para ver como você pode ajudar.</t>
        </is>
      </c>
    </row>
    <row r="14" customFormat="1" s="1">
      <c r="A14" s="23" t="inlineStr">
        <is>
          <t>ITM111</t>
        </is>
      </c>
      <c r="B14" s="1" t="inlineStr">
        <is>
          <t>Missing Assignment</t>
        </is>
      </c>
      <c r="C14" s="44" t="inlineStr">
        <is>
          <t>Atividade S03: Projetar e Popular Banco de Dados de Arte</t>
        </is>
      </c>
      <c r="D14" s="23" t="n">
        <v>4</v>
      </c>
      <c r="E14" s="23" t="n">
        <v>2</v>
      </c>
      <c r="F14" s="23" t="n">
        <v>80</v>
      </c>
      <c r="G14" s="24" t="n"/>
      <c r="H14" s="24" t="inlineStr">
        <is>
          <t>y</t>
        </is>
      </c>
      <c r="I14" s="84">
        <f>DATE(YEAR(Setup!$C$4),MONTH(Setup!$C$4),DAY(Setup!$C$4)+((D14-1)*7)+(E14-WEEKDAY(DATE(YEAR(Setup!$C$4),MONTH(Setup!$C$4),DAY(Setup!$C$4)),1)))</f>
        <v/>
      </c>
      <c r="J14" s="84">
        <f>I14+3</f>
        <v/>
      </c>
      <c r="K14" s="84">
        <f>(I14 + (7 - WEEKDAY(I14,1))) + 1</f>
        <v/>
      </c>
      <c r="L14" s="83">
        <f>F14*G14</f>
        <v/>
      </c>
      <c r="M14" s="1" t="inlineStr">
        <is>
          <t>Tarefa Pendente: Questionário/Tarefa da W03: Visão Geral do SQL</t>
        </is>
      </c>
      <c r="N14" s="1" t="inlineStr">
        <is>
          <t>Entre em contato com o aluno que não entregou o Questionário/Tarefa W03: Visão Geral do SQL</t>
        </is>
      </c>
    </row>
    <row r="15" customFormat="1" s="1">
      <c r="A15" s="23" t="inlineStr">
        <is>
          <t>ITM111</t>
        </is>
      </c>
      <c r="B15" s="1" t="inlineStr">
        <is>
          <t>Quiz Question</t>
        </is>
      </c>
      <c r="C15" s="1" t="inlineStr">
        <is>
          <t>S03 Atualização de Status de 60 segundos: NeedHelp Resposta: Sim</t>
        </is>
      </c>
      <c r="D15" s="23" t="n">
        <v>4</v>
      </c>
      <c r="E15" s="23" t="n">
        <v>2</v>
      </c>
      <c r="F15" s="23" t="n"/>
      <c r="G15" s="24" t="n"/>
      <c r="H15" s="24" t="inlineStr">
        <is>
          <t>y</t>
        </is>
      </c>
      <c r="I15" s="84">
        <f>DATE(YEAR(Setup!$C$4),MONTH(Setup!$C$4),DAY(Setup!$C$4)+((D15-1)*7)+(E15-WEEKDAY(DATE(YEAR(Setup!$C$4),MONTH(Setup!$C$4),DAY(Setup!$C$4)),1)))</f>
        <v/>
      </c>
      <c r="J15" s="84">
        <f>I15+3</f>
        <v/>
      </c>
      <c r="K15" s="84">
        <f>(I15 + (7 - WEEKDAY(I15,1))) + 1</f>
        <v/>
      </c>
      <c r="L15" s="83">
        <f>F15*G15</f>
        <v/>
      </c>
      <c r="M15" s="1" t="inlineStr">
        <is>
          <t>Resposta à Atualização de Status de 60 segundos da W03. O aluno se sente sobrecarregado.</t>
        </is>
      </c>
      <c r="N15" s="1" t="inlineStr">
        <is>
          <t>O estudante respondeu estar se sentindo sobrecarregado na Atualização de Status de 60 segundos da W03. Entre em contato com o estudante para ver como você pode ajudar.</t>
        </is>
      </c>
    </row>
    <row r="16" customFormat="1" s="1">
      <c r="A16" s="83" t="inlineStr">
        <is>
          <t>ITM111</t>
        </is>
      </c>
      <c r="B16" s="27" t="inlineStr">
        <is>
          <t>Grader-Issued 0</t>
        </is>
      </c>
      <c r="C16" s="27" t="inlineStr">
        <is>
          <t>Atividade S03: Projetar e Popular Banco de Dados de Arte</t>
        </is>
      </c>
      <c r="D16" s="83" t="n">
        <v>4</v>
      </c>
      <c r="E16" s="83" t="n">
        <v>4</v>
      </c>
      <c r="F16" s="83" t="n">
        <v>80</v>
      </c>
      <c r="G16" s="86" t="n"/>
      <c r="H16" s="86" t="inlineStr">
        <is>
          <t>y</t>
        </is>
      </c>
      <c r="I16" s="84">
        <f>DATE(YEAR(Setup!$C$4),MONTH(Setup!$C$4),DAY(Setup!$C$4)+((D16-1)*7)+(E16-WEEKDAY(DATE(YEAR(Setup!$C$4),MONTH(Setup!$C$4),DAY(Setup!$C$4)),1)))</f>
        <v/>
      </c>
      <c r="J16" s="84">
        <f>I16+3</f>
        <v/>
      </c>
      <c r="K16" s="84">
        <f>(I16 + (7 - WEEKDAY(I16,1))) + 1</f>
        <v/>
      </c>
      <c r="L16" s="83">
        <f>F16*G16</f>
        <v/>
      </c>
      <c r="M16" s="27" t="inlineStr">
        <is>
          <t>O aluno recebeu uma nota 0 atribuída pelo avaliador na Tarefa da W03: Projetar e Preencher Banco de Dados de Arte</t>
        </is>
      </c>
      <c r="N16" s="8" t="inlineStr">
        <is>
          <t>Nota 0 atribuída pelo avaliador para o Questionário/Tarefa da W03: SQL Overview. Acesse o Canvas e veja os comentários do avaliador. Trabalhe com o aluno para ajudá-lo a enviar novamente.</t>
        </is>
      </c>
    </row>
    <row r="17" customFormat="1" s="1">
      <c r="A17" s="23" t="inlineStr">
        <is>
          <t>ITM111</t>
        </is>
      </c>
      <c r="B17" s="1" t="inlineStr">
        <is>
          <t>Scheduled - Low Current Grade</t>
        </is>
      </c>
      <c r="C17" s="1" t="inlineStr">
        <is>
          <t>Lembrete do Prazo Limite de Desistência</t>
        </is>
      </c>
      <c r="D17" s="23" t="n">
        <v>4</v>
      </c>
      <c r="E17" s="23" t="n">
        <v>4</v>
      </c>
      <c r="F17" s="23" t="n"/>
      <c r="G17" s="24" t="n">
        <v>0.5</v>
      </c>
      <c r="H17" s="24" t="inlineStr">
        <is>
          <t>y</t>
        </is>
      </c>
      <c r="I17" s="84">
        <f>DATE(YEAR(Setup!$C$4),MONTH(Setup!$C$4),DAY(Setup!$C$4)+((D17-1)*7)+(E17-WEEKDAY(DATE(YEAR(Setup!$C$4),MONTH(Setup!$C$4),DAY(Setup!$C$4)),1)))</f>
        <v/>
      </c>
      <c r="J17" s="84">
        <f>I17+3</f>
        <v/>
      </c>
      <c r="K17" s="84">
        <f>(I17 + (7 - WEEKDAY(I17,1))) + 1</f>
        <v/>
      </c>
      <c r="L17" s="83">
        <f>F17*G17</f>
        <v/>
      </c>
      <c r="M17" s="1" t="inlineStr">
        <is>
          <t>Aluno em situação de reprovação. Lembrete de cancelamento de matrícula</t>
        </is>
      </c>
      <c r="N17" s="1" t="inlineStr">
        <is>
          <t>Envie um e-mail para os alunos que estão reprovando no momento e que têm poucas chances de recuperação, lembrando-os do prazo de trancamento.</t>
        </is>
      </c>
    </row>
    <row r="18" customFormat="1" s="1">
      <c r="A18" s="23" t="inlineStr">
        <is>
          <t>ITM111</t>
        </is>
      </c>
      <c r="B18" s="1" t="inlineStr">
        <is>
          <t>High Performance</t>
        </is>
      </c>
      <c r="C18" s="1" t="inlineStr">
        <is>
          <t>Atividade S03: Projetar e Popular Banco de Dados de Arte</t>
        </is>
      </c>
      <c r="D18" s="23" t="n">
        <v>4</v>
      </c>
      <c r="E18" s="23" t="n">
        <v>5</v>
      </c>
      <c r="F18" s="23" t="n">
        <v>80</v>
      </c>
      <c r="G18" s="24" t="n">
        <v>0.9</v>
      </c>
      <c r="H18" s="24" t="inlineStr">
        <is>
          <t>y</t>
        </is>
      </c>
      <c r="I18" s="84">
        <f>DATE(YEAR(Setup!$C$4),MONTH(Setup!$C$4),DAY(Setup!$C$4)+((D18-1)*7)+(E18-WEEKDAY(DATE(YEAR(Setup!$C$4),MONTH(Setup!$C$4),DAY(Setup!$C$4)),1)))</f>
        <v/>
      </c>
      <c r="J18" s="84">
        <f>I18+3</f>
        <v/>
      </c>
      <c r="K18" s="84">
        <f>(I18 + (7 - WEEKDAY(I18,1))) + 1</f>
        <v/>
      </c>
      <c r="L18" s="83">
        <f>F18*G18</f>
        <v/>
      </c>
      <c r="M18" s="1" t="inlineStr">
        <is>
          <t>Alto Desempenho: Tarefa da W03: Projetar e Preencher Banco de Dados de Arte</t>
        </is>
      </c>
      <c r="N18" s="1" t="inlineStr">
        <is>
          <t>Forneça Feedback Positivo no Questionário/Tarefa da W03: Visão Geral do SQL</t>
        </is>
      </c>
    </row>
    <row r="19" customFormat="1" s="1">
      <c r="A19" s="23" t="inlineStr">
        <is>
          <t>ITM111</t>
        </is>
      </c>
      <c r="B19" s="1" t="inlineStr">
        <is>
          <t>Low Performance</t>
        </is>
      </c>
      <c r="C19" s="44" t="inlineStr">
        <is>
          <t>Atividade S03: Projetar e Popular Banco de Dados de Arte</t>
        </is>
      </c>
      <c r="D19" s="23" t="n">
        <v>4</v>
      </c>
      <c r="E19" s="23" t="n">
        <v>5</v>
      </c>
      <c r="F19" s="23" t="n">
        <v>80</v>
      </c>
      <c r="G19" s="24" t="n">
        <v>0.7</v>
      </c>
      <c r="H19" s="24" t="inlineStr">
        <is>
          <t>y</t>
        </is>
      </c>
      <c r="I19" s="84">
        <f>DATE(YEAR(Setup!$C$4),MONTH(Setup!$C$4),DAY(Setup!$C$4)+((D19-1)*7)+(E19-WEEKDAY(DATE(YEAR(Setup!$C$4),MONTH(Setup!$C$4),DAY(Setup!$C$4)),1)))</f>
        <v/>
      </c>
      <c r="J19" s="84">
        <f>I19+3</f>
        <v/>
      </c>
      <c r="K19" s="84">
        <f>(I19 + (7 - WEEKDAY(I19,1))) + 1</f>
        <v/>
      </c>
      <c r="L19" s="83">
        <f>F19*G19</f>
        <v/>
      </c>
      <c r="M19" s="1" t="inlineStr">
        <is>
          <t>Baixo Desempenho: Questionário/Tarefa da W03: Visão Geral do SQL</t>
        </is>
      </c>
      <c r="N19" s="1" t="inlineStr">
        <is>
          <t>Em risco. O aluno obteve pontuação inferior a 70% no Questionário/Tarefa da W03: Visão Geral do SQL. Entre em contato para ver como pode ajudar.</t>
        </is>
      </c>
    </row>
    <row r="20" ht="15.95" customFormat="1" customHeight="1" s="1">
      <c r="A20" s="23" t="inlineStr">
        <is>
          <t>ITM111</t>
        </is>
      </c>
      <c r="B20" s="1" t="inlineStr">
        <is>
          <t>Missing Assignment</t>
        </is>
      </c>
      <c r="C20" s="44" t="inlineStr">
        <is>
          <t>Atividade S04: Consultas de Tabela Única</t>
        </is>
      </c>
      <c r="D20" s="23" t="n">
        <v>5</v>
      </c>
      <c r="E20" s="23" t="n">
        <v>2</v>
      </c>
      <c r="F20" s="23" t="n">
        <v>80</v>
      </c>
      <c r="G20" s="24" t="n"/>
      <c r="H20" s="24" t="inlineStr">
        <is>
          <t>y</t>
        </is>
      </c>
      <c r="I20" s="84">
        <f>DATE(YEAR(Setup!$C$4),MONTH(Setup!$C$4),DAY(Setup!$C$4)+((D20-1)*7)+(E20-WEEKDAY(DATE(YEAR(Setup!$C$4),MONTH(Setup!$C$4),DAY(Setup!$C$4)),1)))</f>
        <v/>
      </c>
      <c r="J20" s="84">
        <f>I20+3</f>
        <v/>
      </c>
      <c r="K20" s="84">
        <f>(I20 + (7 - WEEKDAY(I20,1))) + 1</f>
        <v/>
      </c>
      <c r="L20" s="83">
        <f>F20*G20</f>
        <v/>
      </c>
      <c r="M20" s="1" t="inlineStr">
        <is>
          <t>Tarefa Pendente: Tarefa da W04: Consultas de Tabela Única</t>
        </is>
      </c>
      <c r="N20" s="3" t="inlineStr">
        <is>
          <t>Entre em contato com o aluno que não entregou a Tarefa da W04: Consultas de Tabela Única</t>
        </is>
      </c>
    </row>
    <row r="21" customFormat="1" s="1">
      <c r="A21" s="23" t="inlineStr">
        <is>
          <t>ITM111</t>
        </is>
      </c>
      <c r="B21" s="1" t="inlineStr">
        <is>
          <t>Quiz Question</t>
        </is>
      </c>
      <c r="C21" s="1" t="inlineStr">
        <is>
          <t>S04 Atualização de Status de 60 segundos: NeedHelp Resposta: Sim</t>
        </is>
      </c>
      <c r="D21" s="23" t="n">
        <v>5</v>
      </c>
      <c r="E21" s="23" t="n">
        <v>2</v>
      </c>
      <c r="F21" s="23" t="n"/>
      <c r="G21" s="24" t="n"/>
      <c r="H21" s="24" t="inlineStr">
        <is>
          <t>y</t>
        </is>
      </c>
      <c r="I21" s="84">
        <f>DATE(YEAR(Setup!$C$4),MONTH(Setup!$C$4),DAY(Setup!$C$4)+((D21-1)*7)+(E21-WEEKDAY(DATE(YEAR(Setup!$C$4),MONTH(Setup!$C$4),DAY(Setup!$C$4)),1)))</f>
        <v/>
      </c>
      <c r="J21" s="84">
        <f>I21+3</f>
        <v/>
      </c>
      <c r="K21" s="84">
        <f>(I21 + (7 - WEEKDAY(I21,1))) + 1</f>
        <v/>
      </c>
      <c r="L21" s="83">
        <f>F21*G21</f>
        <v/>
      </c>
      <c r="M21" s="1" t="inlineStr">
        <is>
          <t>Resposta à Atualização de Status de 60 segundos da W04. O aluno se sente sobrecarregado.</t>
        </is>
      </c>
      <c r="N21" s="1" t="inlineStr">
        <is>
          <t>O estudante respondeu que está se sentindo sobrecarregado na Atualização de Status de 60 segundos da W04. Entre em contato com o estudante para ver como você pode ajudar.</t>
        </is>
      </c>
    </row>
    <row r="22" ht="15.95" customFormat="1" customHeight="1" s="1">
      <c r="A22" s="83" t="inlineStr">
        <is>
          <t>ITM111</t>
        </is>
      </c>
      <c r="B22" s="27" t="inlineStr">
        <is>
          <t>Grader-Issued 0</t>
        </is>
      </c>
      <c r="C22" s="85" t="inlineStr">
        <is>
          <t>Atividade S04: Consultas de Tabela Única</t>
        </is>
      </c>
      <c r="D22" s="83" t="n">
        <v>5</v>
      </c>
      <c r="E22" s="83" t="n">
        <v>4</v>
      </c>
      <c r="F22" s="83" t="n">
        <v>80</v>
      </c>
      <c r="G22" s="86" t="n"/>
      <c r="H22" s="86" t="inlineStr">
        <is>
          <t>y</t>
        </is>
      </c>
      <c r="I22" s="84">
        <f>DATE(YEAR(Setup!$C$4),MONTH(Setup!$C$4),DAY(Setup!$C$4)+((D22-1)*7)+(E22-WEEKDAY(DATE(YEAR(Setup!$C$4),MONTH(Setup!$C$4),DAY(Setup!$C$4)),1)))</f>
        <v/>
      </c>
      <c r="J22" s="84">
        <f>I22+3</f>
        <v/>
      </c>
      <c r="K22" s="84">
        <f>(I22 + (7 - WEEKDAY(I22,1))) + 1</f>
        <v/>
      </c>
      <c r="L22" s="83">
        <f>F22*G22</f>
        <v/>
      </c>
      <c r="M22" s="27" t="inlineStr">
        <is>
          <t>O aluno recebeu nota 0 atribuída pelo Corretor na Tarefa da W04: Consultas de Tabela Única</t>
        </is>
      </c>
      <c r="N22" s="8" t="inlineStr">
        <is>
          <t>O avaliador atribuiu nota 0 para a Tarefa da W04: Consultas de Tabela Única. Acesse o Canvas e veja os comentários do avaliador. Trabalhe com o aluno para ajudá-lo a reenviar.</t>
        </is>
      </c>
    </row>
    <row r="23" customFormat="1" s="1">
      <c r="A23" s="23" t="inlineStr">
        <is>
          <t>ITM111</t>
        </is>
      </c>
      <c r="B23" s="1" t="inlineStr">
        <is>
          <t>Scheduled - Classwide</t>
        </is>
      </c>
      <c r="C23" s="1" t="inlineStr">
        <is>
          <t>Lembrete de Matrícula 1</t>
        </is>
      </c>
      <c r="D23" s="23" t="n">
        <v>5</v>
      </c>
      <c r="E23" s="23" t="n">
        <v>4</v>
      </c>
      <c r="F23" s="23" t="n"/>
      <c r="G23" s="24" t="n"/>
      <c r="H23" s="24" t="inlineStr">
        <is>
          <t>y</t>
        </is>
      </c>
      <c r="I23" s="84">
        <f>DATE(YEAR(Setup!$C$4),MONTH(Setup!$C$4),DAY(Setup!$C$4)+((D23-1)*7)+(E23-WEEKDAY(DATE(YEAR(Setup!$C$4),MONTH(Setup!$C$4),DAY(Setup!$C$4)),1)))</f>
        <v/>
      </c>
      <c r="J23" s="84">
        <f>I23+3</f>
        <v/>
      </c>
      <c r="K23" s="84">
        <f>(I23 + (7 - WEEKDAY(I23,1))) + 1</f>
        <v/>
      </c>
      <c r="L23" s="83">
        <f>F23*G23</f>
        <v/>
      </c>
      <c r="M23" s="1" t="inlineStr">
        <is>
          <t>Lembrete de Matrícula 1</t>
        </is>
      </c>
      <c r="N23" s="43" t="inlineStr">
        <is>
          <t>Envie uma mensagem para todos os alunos, lembrando-os de que as inscrições para o próximo bloco já estão abertas e incentivando-os a agir.</t>
        </is>
      </c>
    </row>
    <row r="24" ht="15.95" customFormat="1" customHeight="1" s="1">
      <c r="A24" s="23" t="inlineStr">
        <is>
          <t>ITM111</t>
        </is>
      </c>
      <c r="B24" s="1" t="inlineStr">
        <is>
          <t>High Performance</t>
        </is>
      </c>
      <c r="C24" s="44" t="inlineStr">
        <is>
          <t>Atividade S04: Consultas de Tabela Única</t>
        </is>
      </c>
      <c r="D24" s="23" t="n">
        <v>5</v>
      </c>
      <c r="E24" s="23" t="n">
        <v>5</v>
      </c>
      <c r="F24" s="23" t="n">
        <v>80</v>
      </c>
      <c r="G24" s="24" t="n">
        <v>0.9</v>
      </c>
      <c r="H24" s="24" t="inlineStr">
        <is>
          <t>y</t>
        </is>
      </c>
      <c r="I24" s="84">
        <f>DATE(YEAR(Setup!$C$4),MONTH(Setup!$C$4),DAY(Setup!$C$4)+((D24-1)*7)+(E24-WEEKDAY(DATE(YEAR(Setup!$C$4),MONTH(Setup!$C$4),DAY(Setup!$C$4)),1)))</f>
        <v/>
      </c>
      <c r="J24" s="84">
        <f>I24+3</f>
        <v/>
      </c>
      <c r="K24" s="84">
        <f>(I24 + (7 - WEEKDAY(I24,1))) + 1</f>
        <v/>
      </c>
      <c r="L24" s="83">
        <f>F24*G24</f>
        <v/>
      </c>
      <c r="M24" s="1" t="inlineStr">
        <is>
          <t>Alto Desempenho: Tarefa da W04: Consultas em Tabela Única</t>
        </is>
      </c>
      <c r="N24" s="3" t="inlineStr">
        <is>
          <t>Forneça feedback positivo na Tarefa W04: Consultas de Tabela Única</t>
        </is>
      </c>
    </row>
    <row r="25" ht="15.95" customFormat="1" customHeight="1" s="1">
      <c r="A25" s="23" t="inlineStr">
        <is>
          <t>ITM111</t>
        </is>
      </c>
      <c r="B25" s="1" t="inlineStr">
        <is>
          <t>Low Performance</t>
        </is>
      </c>
      <c r="C25" s="44" t="inlineStr">
        <is>
          <t>Atividade S04: Consultas de Tabela Única</t>
        </is>
      </c>
      <c r="D25" s="23" t="n">
        <v>5</v>
      </c>
      <c r="E25" s="23" t="n">
        <v>5</v>
      </c>
      <c r="F25" s="23" t="n">
        <v>80</v>
      </c>
      <c r="G25" s="24" t="n">
        <v>0.7</v>
      </c>
      <c r="H25" s="24" t="inlineStr">
        <is>
          <t>y</t>
        </is>
      </c>
      <c r="I25" s="84">
        <f>DATE(YEAR(Setup!$C$4),MONTH(Setup!$C$4),DAY(Setup!$C$4)+((D25-1)*7)+(E25-WEEKDAY(DATE(YEAR(Setup!$C$4),MONTH(Setup!$C$4),DAY(Setup!$C$4)),1)))</f>
        <v/>
      </c>
      <c r="J25" s="84">
        <f>I25+3</f>
        <v/>
      </c>
      <c r="K25" s="84">
        <f>(I25 + (7 - WEEKDAY(I25,1))) + 1</f>
        <v/>
      </c>
      <c r="L25" s="83">
        <f>F25*G25</f>
        <v/>
      </c>
      <c r="M25" s="1" t="inlineStr">
        <is>
          <t>Baixo Desempenho: Tarefa W04: Single Table Queries</t>
        </is>
      </c>
      <c r="N25" s="3" t="inlineStr">
        <is>
          <t>Em Risco. O(A) estudante obteve nota abaixo de 70% na Tarefa da W04: Consultas de Tabela Única. Entre em contato para ver como você pode ajudar.</t>
        </is>
      </c>
    </row>
    <row r="26" customFormat="1" s="1">
      <c r="A26" s="23" t="inlineStr">
        <is>
          <t>ITM111</t>
        </is>
      </c>
      <c r="B26" s="1" t="inlineStr">
        <is>
          <t>Missing Assignment</t>
        </is>
      </c>
      <c r="C26" s="44" t="inlineStr">
        <is>
          <t>Atividade S05: Junção de Tabelas e Agregação de Dados</t>
        </is>
      </c>
      <c r="D26" s="23" t="n">
        <v>6</v>
      </c>
      <c r="E26" s="23" t="n">
        <v>2</v>
      </c>
      <c r="F26" s="23" t="n">
        <v>80</v>
      </c>
      <c r="G26" s="24" t="n"/>
      <c r="H26" s="24" t="inlineStr">
        <is>
          <t>y</t>
        </is>
      </c>
      <c r="I26" s="84">
        <f>DATE(YEAR(Setup!$C$4),MONTH(Setup!$C$4),DAY(Setup!$C$4)+((D26-1)*7)+(E26-WEEKDAY(DATE(YEAR(Setup!$C$4),MONTH(Setup!$C$4),DAY(Setup!$C$4)),1)))</f>
        <v/>
      </c>
      <c r="J26" s="84">
        <f>I26+3</f>
        <v/>
      </c>
      <c r="K26" s="84">
        <f>(I26 + (7 - WEEKDAY(I26,1))) + 1</f>
        <v/>
      </c>
      <c r="L26" s="83">
        <f>F26*G26</f>
        <v/>
      </c>
      <c r="M26" s="1" t="inlineStr">
        <is>
          <t>Tarefa não entregue: Tarefa W05: Joining Tables and Aggregating Data</t>
        </is>
      </c>
      <c r="N26" s="1" t="inlineStr">
        <is>
          <t>Entre em contato com o(a) estudante que não enviou a Tarefa da W05: Unindo Tabelas e Agregando Dados</t>
        </is>
      </c>
    </row>
    <row r="27" customFormat="1" s="1">
      <c r="A27" s="23" t="inlineStr">
        <is>
          <t>ITM111</t>
        </is>
      </c>
      <c r="B27" s="1" t="inlineStr">
        <is>
          <t>Quiz Question</t>
        </is>
      </c>
      <c r="C27" s="1" t="inlineStr">
        <is>
          <t>S05 Atualização de Status de 60 segundos: NeedHelp Resposta: Sim</t>
        </is>
      </c>
      <c r="D27" s="23" t="n">
        <v>6</v>
      </c>
      <c r="E27" s="23" t="n">
        <v>2</v>
      </c>
      <c r="F27" s="23" t="n"/>
      <c r="G27" s="24" t="n"/>
      <c r="H27" s="24" t="inlineStr">
        <is>
          <t>y</t>
        </is>
      </c>
      <c r="I27" s="84">
        <f>DATE(YEAR(Setup!$C$4),MONTH(Setup!$C$4),DAY(Setup!$C$4)+((D27-1)*7)+(E27-WEEKDAY(DATE(YEAR(Setup!$C$4),MONTH(Setup!$C$4),DAY(Setup!$C$4)),1)))</f>
        <v/>
      </c>
      <c r="J27" s="84">
        <f>I27+3</f>
        <v/>
      </c>
      <c r="K27" s="84">
        <f>(I27 + (7 - WEEKDAY(I27,1))) + 1</f>
        <v/>
      </c>
      <c r="L27" s="83">
        <f>F27*G27</f>
        <v/>
      </c>
      <c r="M27" s="1" t="inlineStr">
        <is>
          <t>Resposta à Atualização de Status de 60 segundos da W05. O aluno se sente sobrecarregado.</t>
        </is>
      </c>
      <c r="N27" s="1" t="inlineStr">
        <is>
          <t>O aluno respondeu que está se sentindo sobrecarregado na Atualização de Status de 60 segundos da W05. Entre em contato com o aluno para ver como pode ajudar.</t>
        </is>
      </c>
    </row>
    <row r="28" customFormat="1" s="1">
      <c r="A28" s="83" t="inlineStr">
        <is>
          <t>ITM111</t>
        </is>
      </c>
      <c r="B28" s="27" t="inlineStr">
        <is>
          <t>Grader-Issued 0</t>
        </is>
      </c>
      <c r="C28" s="27" t="inlineStr">
        <is>
          <t>Atividade S05: Junção de Tabelas e Agregação de Dados</t>
        </is>
      </c>
      <c r="D28" s="83" t="n">
        <v>6</v>
      </c>
      <c r="E28" s="83" t="n">
        <v>4</v>
      </c>
      <c r="F28" s="83" t="n">
        <v>80</v>
      </c>
      <c r="G28" s="86" t="n"/>
      <c r="H28" s="86" t="inlineStr">
        <is>
          <t>y</t>
        </is>
      </c>
      <c r="I28" s="84">
        <f>DATE(YEAR(Setup!$C$4),MONTH(Setup!$C$4),DAY(Setup!$C$4)+((D28-1)*7)+(E28-WEEKDAY(DATE(YEAR(Setup!$C$4),MONTH(Setup!$C$4),DAY(Setup!$C$4)),1)))</f>
        <v/>
      </c>
      <c r="J28" s="84">
        <f>I28+3</f>
        <v/>
      </c>
      <c r="K28" s="84">
        <f>(I28 + (7 - WEEKDAY(I28,1))) + 1</f>
        <v/>
      </c>
      <c r="L28" s="83">
        <f>F28*G28</f>
        <v/>
      </c>
      <c r="M28" s="27" t="inlineStr">
        <is>
          <t>O aluno recebeu uma nota 0 atribuída pelo avaliador na Tarefa da W05: Unindo Tabelas e Agregando Dados</t>
        </is>
      </c>
      <c r="N28" s="8" t="inlineStr">
        <is>
          <t>O avaliador atribuiu nota 0 para a Tarefa da W05: Unindo Tabelas e Agregando Dados. Acesse o Canvas e veja os comentários do avaliador. Trabalhe com o aluno para ajudar no reenvio.</t>
        </is>
      </c>
    </row>
    <row r="29" customFormat="1" s="1">
      <c r="A29" s="23" t="inlineStr">
        <is>
          <t>ITM111</t>
        </is>
      </c>
      <c r="B29" s="1" t="inlineStr">
        <is>
          <t>High Performance</t>
        </is>
      </c>
      <c r="C29" s="44" t="inlineStr">
        <is>
          <t>Atividade S05: Junção de Tabelas e Agregação de Dados</t>
        </is>
      </c>
      <c r="D29" s="23" t="n">
        <v>6</v>
      </c>
      <c r="E29" s="23" t="n">
        <v>5</v>
      </c>
      <c r="F29" s="23" t="n">
        <v>80</v>
      </c>
      <c r="G29" s="24" t="n">
        <v>0.9</v>
      </c>
      <c r="H29" s="24" t="inlineStr">
        <is>
          <t>y</t>
        </is>
      </c>
      <c r="I29" s="84">
        <f>DATE(YEAR(Setup!$C$4),MONTH(Setup!$C$4),DAY(Setup!$C$4)+((D29-1)*7)+(E29-WEEKDAY(DATE(YEAR(Setup!$C$4),MONTH(Setup!$C$4),DAY(Setup!$C$4)),1)))</f>
        <v/>
      </c>
      <c r="J29" s="84">
        <f>I29+3</f>
        <v/>
      </c>
      <c r="K29" s="84">
        <f>(I29 + (7 - WEEKDAY(I29,1))) + 1</f>
        <v/>
      </c>
      <c r="L29" s="83">
        <f>F29*G29</f>
        <v/>
      </c>
      <c r="M29" s="1" t="inlineStr">
        <is>
          <t>Alto Desempenho: Tarefa da W05: Junção de Tabelas e Agregação de Dados</t>
        </is>
      </c>
      <c r="N29" s="1" t="inlineStr">
        <is>
          <t>Fornecer feedback positivo sobre a Tarefa W05: Unir tabelas e agregar dados</t>
        </is>
      </c>
    </row>
    <row r="30" customFormat="1" s="1">
      <c r="A30" s="23" t="inlineStr">
        <is>
          <t>ITM111</t>
        </is>
      </c>
      <c r="B30" s="1" t="inlineStr">
        <is>
          <t>Low Performance</t>
        </is>
      </c>
      <c r="C30" s="44" t="inlineStr">
        <is>
          <t>Atividade S05: Junção de Tabelas e Agregação de Dados</t>
        </is>
      </c>
      <c r="D30" s="23" t="n">
        <v>6</v>
      </c>
      <c r="E30" s="23" t="n">
        <v>5</v>
      </c>
      <c r="F30" s="23" t="n">
        <v>80</v>
      </c>
      <c r="G30" s="24" t="n">
        <v>0.7</v>
      </c>
      <c r="H30" s="24" t="inlineStr">
        <is>
          <t>y</t>
        </is>
      </c>
      <c r="I30" s="84">
        <f>DATE(YEAR(Setup!$C$4),MONTH(Setup!$C$4),DAY(Setup!$C$4)+((D30-1)*7)+(E30-WEEKDAY(DATE(YEAR(Setup!$C$4),MONTH(Setup!$C$4),DAY(Setup!$C$4)),1)))</f>
        <v/>
      </c>
      <c r="J30" s="84">
        <f>I30+3</f>
        <v/>
      </c>
      <c r="K30" s="84">
        <f>(I30 + (7 - WEEKDAY(I30,1))) + 1</f>
        <v/>
      </c>
      <c r="L30" s="83">
        <f>F30*G30</f>
        <v/>
      </c>
      <c r="M30" s="1" t="inlineStr">
        <is>
          <t>Baixo desempenho: Tarefa W05: Unir tabelas e agregar dados</t>
        </is>
      </c>
      <c r="N30" s="1" t="inlineStr">
        <is>
          <t>Em risco. O aluno obteve nota inferior a 70% na Tarefa W05: Unir tabelas e agregar dados. Entre em contato para ver como você pode ajudar.</t>
        </is>
      </c>
    </row>
    <row r="31" customFormat="1" s="1">
      <c r="A31" s="23" t="inlineStr">
        <is>
          <t>ITM111</t>
        </is>
      </c>
      <c r="B31" s="1" t="inlineStr">
        <is>
          <t>Scheduled - Classwide</t>
        </is>
      </c>
      <c r="C31" s="1" t="inlineStr">
        <is>
          <t>Lembrete de Matrícula 2</t>
        </is>
      </c>
      <c r="D31" s="23" t="n">
        <v>7</v>
      </c>
      <c r="E31" s="23" t="n">
        <v>1</v>
      </c>
      <c r="F31" s="23" t="n"/>
      <c r="G31" s="24" t="n"/>
      <c r="H31" s="24" t="inlineStr">
        <is>
          <t>y</t>
        </is>
      </c>
      <c r="I31" s="84">
        <f>DATE(YEAR(Setup!$C$4),MONTH(Setup!$C$4),DAY(Setup!$C$4)+((D31-1)*7)+(E31-WEEKDAY(DATE(YEAR(Setup!$C$4),MONTH(Setup!$C$4),DAY(Setup!$C$4)),1)))</f>
        <v/>
      </c>
      <c r="J31" s="84">
        <f>I31+3</f>
        <v/>
      </c>
      <c r="K31" s="84">
        <f>(I31 + (7 - WEEKDAY(I31,1))) + 1</f>
        <v/>
      </c>
      <c r="L31" s="83">
        <f>F31*G31</f>
        <v/>
      </c>
      <c r="M31" s="1" t="inlineStr">
        <is>
          <t>Lembrete de Matrícula 2</t>
        </is>
      </c>
      <c r="N31" s="43" t="inlineStr">
        <is>
          <t>Envie uma mensagem a todos os alunos, lembrando-os de que as inscrições para o próximo bloco ainda estão abertas, mas serão encerradas em breve. Incentive-os a acessar o sistema e se inscrever o quanto antes.</t>
        </is>
      </c>
    </row>
    <row r="32" customFormat="1" s="1">
      <c r="A32" s="23" t="inlineStr">
        <is>
          <t>ITM111</t>
        </is>
      </c>
      <c r="B32" s="1" t="inlineStr">
        <is>
          <t>Scheduled - Classwide</t>
        </is>
      </c>
      <c r="C32" s="1" t="inlineStr">
        <is>
          <t>Lembrete de Fim de Bloco</t>
        </is>
      </c>
      <c r="D32" s="23" t="n">
        <v>7</v>
      </c>
      <c r="E32" s="23" t="n">
        <v>2</v>
      </c>
      <c r="F32" s="23" t="n"/>
      <c r="G32" s="24" t="n"/>
      <c r="H32" s="24" t="inlineStr">
        <is>
          <t>y</t>
        </is>
      </c>
      <c r="I32" s="84">
        <f>DATE(YEAR(Setup!$C$4),MONTH(Setup!$C$4),DAY(Setup!$C$4)+((D32-1)*7)+(E32-WEEKDAY(DATE(YEAR(Setup!$C$4),MONTH(Setup!$C$4),DAY(Setup!$C$4)),1)))</f>
        <v/>
      </c>
      <c r="J32" s="84">
        <f>I32+3</f>
        <v/>
      </c>
      <c r="K32" s="84">
        <f>(I32 + (7 - WEEKDAY(I32,1))) + 1</f>
        <v/>
      </c>
      <c r="L32" s="83">
        <f>F32*G32</f>
        <v/>
      </c>
      <c r="M32" s="1" t="inlineStr">
        <is>
          <t>Lembrete de Fim de Bloco</t>
        </is>
      </c>
      <c r="N32" s="44" t="inlineStr">
        <is>
          <t>Lembre os alunos de que o curso será encerrado, para enviarem as tarefas dentro do prazo e preencherem a Avaliação de Fim de Curso</t>
        </is>
      </c>
    </row>
  </sheetData>
  <sheetProtection selectLockedCells="1" selectUnlockedCells="0" algorithmName="SHA-512" sheet="1" objects="0" insertRows="0" insertHyperlinks="1" autoFilter="0" scenarios="0" formatColumns="1" deleteColumns="1" insertColumns="1" pivotTables="1" deleteRows="0" formatCells="0" saltValue="OSBecMf9kHAbOUgg2+H2UA==" formatRows="0" sort="0" spinCount="100000" hashValue="NwzjbKUjkKHgRvMVKod2aZfxPqy470+fstjTCUkgB471r7dYqVQ2dVUkMFl7Oq50Z9o/or3sECCexCP/XFdZnQ=="/>
  <autoFilter ref="A1:N32"/>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7.xml><?xml version="1.0" encoding="utf-8"?>
<worksheet xmlns="http://schemas.openxmlformats.org/spreadsheetml/2006/main">
  <sheetPr codeName="Sheet15">
    <tabColor rgb="FF00B050"/>
    <outlinePr summaryBelow="1" summaryRight="1"/>
    <pageSetUpPr/>
  </sheetPr>
  <dimension ref="A1:N70"/>
  <sheetViews>
    <sheetView workbookViewId="0">
      <pane xSplit="5" ySplit="1" topLeftCell="F2" activePane="bottomRight" state="frozen"/>
      <selection pane="bottomRight" activeCell="A2" sqref="A2"/>
      <selection pane="bottomLeft" activeCell="F30" sqref="F30"/>
      <selection pane="topRight" activeCell="F30" sqref="F30"/>
    </sheetView>
  </sheetViews>
  <sheetFormatPr baseColWidth="8" defaultColWidth="8.85546875" defaultRowHeight="15"/>
  <cols>
    <col width="11.85546875" bestFit="1" customWidth="1" style="1" min="1" max="1"/>
    <col width="25" customWidth="1" style="1" min="2" max="2"/>
    <col width="45.7109375" customWidth="1" style="1" min="3" max="3"/>
    <col width="13.28515625" bestFit="1" customWidth="1" style="23" min="4" max="4"/>
    <col width="27.85546875" customWidth="1" style="23" min="5" max="5"/>
    <col width="9.140625" customWidth="1" style="23" min="6" max="6"/>
    <col width="12.42578125" customWidth="1" style="23" min="7" max="7"/>
    <col hidden="1" width="11.7109375" customWidth="1" style="23" min="8" max="8"/>
    <col hidden="1" width="16.42578125" customWidth="1" style="23" min="9" max="11"/>
    <col hidden="1" width="12.85546875" customWidth="1" style="23" min="12" max="12"/>
    <col width="68.140625" customWidth="1" style="1" min="13" max="13"/>
    <col width="119.140625" customWidth="1" style="1" min="14" max="14"/>
    <col width="8.85546875" customWidth="1" style="1" min="15" max="5769"/>
    <col width="65.85546875" customWidth="1" style="1" min="5770" max="5770"/>
    <col width="8.85546875" customWidth="1" style="1" min="5771" max="16384"/>
  </cols>
  <sheetData>
    <row r="1" ht="32.1" customFormat="1" customHeight="1" s="20">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WDD130</t>
        </is>
      </c>
      <c r="B2" s="1" t="inlineStr">
        <is>
          <t>New Student Added</t>
        </is>
      </c>
      <c r="C2" s="1" t="inlineStr">
        <is>
          <t>Novo Estudante Adicionado - BOAS-VINDAS</t>
        </is>
      </c>
      <c r="D2" s="23" t="n">
        <v>0</v>
      </c>
      <c r="E2" s="23" t="n">
        <v>6</v>
      </c>
      <c r="G2" s="24" t="n"/>
      <c r="H2" s="24" t="inlineStr">
        <is>
          <t>y</t>
        </is>
      </c>
      <c r="I2" s="26">
        <f>DATE(YEAR(Setup!$C$4),MONTH(Setup!$C$4),DAY(Setup!$C$4)+((D2-1)*7)+(E2-WEEKDAY(DATE(YEAR(Setup!$C$4),MONTH(Setup!$C$4),DAY(Setup!$C$4)),1)))</f>
        <v/>
      </c>
      <c r="J2" s="26">
        <f>I2+3</f>
        <v/>
      </c>
      <c r="K2" s="26">
        <f>(I2 + (7 - WEEKDAY(I2,1))) + 1</f>
        <v/>
      </c>
      <c r="L2" s="23">
        <f>F2*G2</f>
        <v/>
      </c>
      <c r="M2" s="36" t="inlineStr">
        <is>
          <t>BEM-VINDO AO WDD 130</t>
        </is>
      </c>
      <c r="N2" s="33" t="inlineStr">
        <is>
          <t>Na semana 1, dia 3 (terça-feira) da primeira semana do curso, dê as boas-vindas a todos os alunos que foram adicionados ao curso após a sua primeira mensagem de boas-vindas.</t>
        </is>
      </c>
    </row>
    <row r="3">
      <c r="A3" s="1" t="inlineStr">
        <is>
          <t>WDD130</t>
        </is>
      </c>
      <c r="B3" s="1" t="inlineStr">
        <is>
          <t>Scheduled - Not Logged In</t>
        </is>
      </c>
      <c r="C3" s="1" t="inlineStr">
        <is>
          <t>Aviso de Desistência</t>
        </is>
      </c>
      <c r="D3" s="23" t="n">
        <v>1</v>
      </c>
      <c r="E3" s="23" t="n">
        <v>6</v>
      </c>
      <c r="G3" s="24" t="n"/>
      <c r="H3" s="24" t="inlineStr">
        <is>
          <t>y</t>
        </is>
      </c>
      <c r="I3" s="26">
        <f>DATE(YEAR(Setup!$C$4),MONTH(Setup!$C$4),DAY(Setup!$C$4)+((D3-1)*7)+(E3-WEEKDAY(DATE(YEAR(Setup!$C$4),MONTH(Setup!$C$4),DAY(Setup!$C$4)),1)))</f>
        <v/>
      </c>
      <c r="J3" s="26">
        <f>I3+3</f>
        <v/>
      </c>
      <c r="K3" s="26">
        <f>(I3 + (7 - WEEKDAY(I3,1))) + 1</f>
        <v/>
      </c>
      <c r="L3" s="23">
        <f>F3*G3</f>
        <v/>
      </c>
      <c r="M3" s="31" t="inlineStr">
        <is>
          <t>POLÍTICA DE DESISTÊNCIA AUTOMÁTICA</t>
        </is>
      </c>
      <c r="N3" s="65" t="inlineStr">
        <is>
          <t>On week 1, Day 6, (Friday) after the first offical day of the course, reach out to students who have not logged into the course. Remind them of required participation and the auto-drop policy. Post an annoucment and try to find additional email addresses for those students in the case they have not used canvas yet.</t>
        </is>
      </c>
    </row>
    <row r="4">
      <c r="A4" s="1" t="inlineStr">
        <is>
          <t>WDD130</t>
        </is>
      </c>
      <c r="B4" s="1" t="inlineStr">
        <is>
          <t>Missing Assignment</t>
        </is>
      </c>
      <c r="C4" s="1" t="inlineStr">
        <is>
          <t>S01 Tarefa: Página Inicial do Estudante</t>
        </is>
      </c>
      <c r="D4" s="23" t="n">
        <v>2</v>
      </c>
      <c r="E4" s="23" t="n">
        <v>2</v>
      </c>
      <c r="F4" s="23" t="n">
        <v>30</v>
      </c>
      <c r="G4" s="24" t="n"/>
      <c r="H4" s="24" t="inlineStr">
        <is>
          <t>y</t>
        </is>
      </c>
      <c r="I4" s="26">
        <f>DATE(YEAR(Setup!$C$4),MONTH(Setup!$C$4),DAY(Setup!$C$4)+((D4-1)*7)+(E4-WEEKDAY(DATE(YEAR(Setup!$C$4),MONTH(Setup!$C$4),DAY(Setup!$C$4)),1)))</f>
        <v/>
      </c>
      <c r="J4" s="26">
        <f>I4+3</f>
        <v/>
      </c>
      <c r="K4" s="26">
        <f>(I4 + (7 - WEEKDAY(I4,1))) + 1</f>
        <v/>
      </c>
      <c r="L4" s="23">
        <f>F4*G4</f>
        <v/>
      </c>
      <c r="M4" s="31" t="inlineStr">
        <is>
          <t>LEMBRETE: Enviar Página Inicial da W01</t>
        </is>
      </c>
      <c r="N4" s="33" t="inlineStr">
        <is>
          <t>Na semana 2, Dia 2 (segunda-feira), envie uma mensagem para lembrar os alunos que não enviaram a Tarefa da W01: Página Inicial do Aluno de que enviem seu trabalho.</t>
        </is>
      </c>
    </row>
    <row r="5">
      <c r="A5" s="1" t="inlineStr">
        <is>
          <t>WDD130</t>
        </is>
      </c>
      <c r="B5" s="1" t="inlineStr">
        <is>
          <t>Scheduled - Not Logged In</t>
        </is>
      </c>
      <c r="C5" s="1" t="inlineStr">
        <is>
          <t>Aviso de Desistência</t>
        </is>
      </c>
      <c r="D5" s="23" t="n">
        <v>2</v>
      </c>
      <c r="E5" s="23" t="n">
        <v>2</v>
      </c>
      <c r="G5" s="24" t="n"/>
      <c r="H5" s="24" t="inlineStr">
        <is>
          <t>y</t>
        </is>
      </c>
      <c r="I5" s="26">
        <f>DATE(YEAR(Setup!$C$4),MONTH(Setup!$C$4),DAY(Setup!$C$4)+((D5-1)*7)+(E5-WEEKDAY(DATE(YEAR(Setup!$C$4),MONTH(Setup!$C$4),DAY(Setup!$C$4)),1)))</f>
        <v/>
      </c>
      <c r="J5" s="26">
        <f>I5+3</f>
        <v/>
      </c>
      <c r="K5" s="26">
        <f>(I5 + (7 - WEEKDAY(I5,1))) + 1</f>
        <v/>
      </c>
      <c r="L5" s="23">
        <f>F5*G5</f>
        <v/>
      </c>
      <c r="M5" s="31" t="inlineStr">
        <is>
          <t>LEMBRETE: POLÍTICA DE CANCELAMENTO AUTOMÁTICO DE MATRÍCULA</t>
        </is>
      </c>
      <c r="N5" s="33" t="inlineStr">
        <is>
          <t>Na semana 2, Dia 2 (segunda-feira), que é o dia 8 do curso, envie um e-mail para os alunos que não acessaram o curso e lembre-os de fazer login e participar, ou eles serão removidos automaticamente. Tente encontrar endereços de e-mail adicionais para esses alunos caso eles ainda não tenham usado o Canvas. Informe o prazo para participação na mensagem.</t>
        </is>
      </c>
    </row>
    <row r="6">
      <c r="A6" s="1" t="inlineStr">
        <is>
          <t>WDD130</t>
        </is>
      </c>
      <c r="B6" s="1" t="inlineStr">
        <is>
          <t>Grader-Issued 0</t>
        </is>
      </c>
      <c r="C6" s="1" t="inlineStr">
        <is>
          <t>S01 Tarefa: Página Inicial do Estudante</t>
        </is>
      </c>
      <c r="D6" s="23" t="n">
        <v>2</v>
      </c>
      <c r="E6" s="23" t="n">
        <v>4</v>
      </c>
      <c r="F6" s="23" t="n">
        <v>30</v>
      </c>
      <c r="G6" s="30" t="n"/>
      <c r="H6" s="23" t="inlineStr">
        <is>
          <t>y</t>
        </is>
      </c>
      <c r="I6" s="26">
        <f>DATE(YEAR(Setup!$C$4),MONTH(Setup!$C$4),DAY(Setup!$C$4)+((D6-1)*7)+(E6-WEEKDAY(DATE(YEAR(Setup!$C$4),MONTH(Setup!$C$4),DAY(Setup!$C$4)),1)))</f>
        <v/>
      </c>
      <c r="J6" s="26">
        <f>I6+3</f>
        <v/>
      </c>
      <c r="K6" s="26">
        <f>(I6 + (7 - WEEKDAY(I6,1))) + 1</f>
        <v/>
      </c>
      <c r="L6" s="23">
        <f>F6*G6</f>
        <v/>
      </c>
      <c r="M6" s="31" t="inlineStr">
        <is>
          <t>AVISO DE NOTA: O avaliador atribuiu nota 0 para a Página Inicial da W01</t>
        </is>
      </c>
      <c r="N6" s="32" t="inlineStr">
        <is>
          <t>Na semana 2, Dia 4 (quarta-feira), envie uma mensagem para os alunos que têm um 0% (0/30) atribuído pelo avaliador na Tarefa da W01: Página Inicial. Revise as Observações e a Rubrica; o aluno provavelmente enviou o link incorreto para a tarefa.</t>
        </is>
      </c>
    </row>
    <row r="7">
      <c r="A7" s="1" t="inlineStr">
        <is>
          <t>WDD130</t>
        </is>
      </c>
      <c r="B7" s="1" t="inlineStr">
        <is>
          <t>High Performance</t>
        </is>
      </c>
      <c r="C7" s="1" t="inlineStr">
        <is>
          <t>S01 Tarefa: Página Inicial do Estudante</t>
        </is>
      </c>
      <c r="D7" s="23" t="n">
        <v>2</v>
      </c>
      <c r="E7" s="23" t="n">
        <v>4</v>
      </c>
      <c r="F7" s="23" t="n">
        <v>30</v>
      </c>
      <c r="G7" s="24" t="n">
        <v>0.85</v>
      </c>
      <c r="H7" s="24" t="inlineStr">
        <is>
          <t>y</t>
        </is>
      </c>
      <c r="I7" s="26">
        <f>DATE(YEAR(Setup!$C$4),MONTH(Setup!$C$4),DAY(Setup!$C$4)+((D7-1)*7)+(E7-WEEKDAY(DATE(YEAR(Setup!$C$4),MONTH(Setup!$C$4),DAY(Setup!$C$4)),1)))</f>
        <v/>
      </c>
      <c r="J7" s="26">
        <f>I7+3</f>
        <v/>
      </c>
      <c r="K7" s="26">
        <f>(I7 + (7 - WEEKDAY(I7,1))) + 1</f>
        <v/>
      </c>
      <c r="L7" s="23">
        <f>F7*G7</f>
        <v/>
      </c>
      <c r="M7" s="34" t="inlineStr">
        <is>
          <t>EXCELENTE NOTA: Página Inicial da W01</t>
        </is>
      </c>
      <c r="N7" s="33" t="inlineStr">
        <is>
          <t>Na semana 2, Dia 4 (quarta-feira), envie uma mensagem para os alunos que obtiveram mais de 100% (30/30) na Tarefa da W01: Página Inicial do Aluno. Parabenize-os pela conquista.</t>
        </is>
      </c>
    </row>
    <row r="8">
      <c r="A8" s="1" t="inlineStr">
        <is>
          <t>WDD130</t>
        </is>
      </c>
      <c r="B8" s="1" t="inlineStr">
        <is>
          <t>Low Performance</t>
        </is>
      </c>
      <c r="C8" s="1" t="inlineStr">
        <is>
          <t>S01 Tarefa: Página Inicial do Estudante</t>
        </is>
      </c>
      <c r="D8" s="23" t="n">
        <v>2</v>
      </c>
      <c r="E8" s="23" t="n">
        <v>4</v>
      </c>
      <c r="F8" s="23" t="n">
        <v>30</v>
      </c>
      <c r="G8" s="24" t="n">
        <v>0.7</v>
      </c>
      <c r="H8" s="24" t="inlineStr">
        <is>
          <t>y</t>
        </is>
      </c>
      <c r="I8" s="26">
        <f>DATE(YEAR(Setup!$C$4),MONTH(Setup!$C$4),DAY(Setup!$C$4)+((D8-1)*7)+(E8-WEEKDAY(DATE(YEAR(Setup!$C$4),MONTH(Setup!$C$4),DAY(Setup!$C$4)),1)))</f>
        <v/>
      </c>
      <c r="J8" s="26">
        <f>I8+3</f>
        <v/>
      </c>
      <c r="K8" s="26">
        <f>(I8 + (7 - WEEKDAY(I8,1))) + 1</f>
        <v/>
      </c>
      <c r="L8" s="23">
        <f>F8*G8</f>
        <v/>
      </c>
      <c r="M8" s="35" t="inlineStr">
        <is>
          <t>ACOMPANHAMENTO: Página Inicial da W01</t>
        </is>
      </c>
      <c r="N8" s="33" t="inlineStr">
        <is>
          <t>Na semana 2, Dia 4 (quarta-feira), envie uma mensagem para os alunos que pontuaram menos de 50% (15/30) na Tarefa da W01: Página Inicial do Aluno. Pergunte aos alunos se eles têm dúvidas ou preocupações.</t>
        </is>
      </c>
    </row>
    <row r="9">
      <c r="A9" s="1" t="inlineStr">
        <is>
          <t>WDD130</t>
        </is>
      </c>
      <c r="B9" s="1" t="inlineStr">
        <is>
          <t>Missing Assignment</t>
        </is>
      </c>
      <c r="C9" s="1" t="inlineStr">
        <is>
          <t>S02 Tarefa: Melhoria da Página Inicial</t>
        </is>
      </c>
      <c r="D9" s="23" t="n">
        <v>3</v>
      </c>
      <c r="E9" s="23" t="n">
        <v>2</v>
      </c>
      <c r="F9" s="23" t="n">
        <v>30</v>
      </c>
      <c r="G9" s="24" t="n"/>
      <c r="H9" s="24" t="inlineStr">
        <is>
          <t>y</t>
        </is>
      </c>
      <c r="I9" s="26">
        <f>DATE(YEAR(Setup!$C$4),MONTH(Setup!$C$4),DAY(Setup!$C$4)+((D9-1)*7)+(E9-WEEKDAY(DATE(YEAR(Setup!$C$4),MONTH(Setup!$C$4),DAY(Setup!$C$4)),1)))</f>
        <v/>
      </c>
      <c r="J9" s="26">
        <f>I9+3</f>
        <v/>
      </c>
      <c r="K9" s="26">
        <f>(I9 + (7 - WEEKDAY(I9,1))) + 1</f>
        <v/>
      </c>
      <c r="L9" s="23">
        <f>F9*G9</f>
        <v/>
      </c>
      <c r="M9" s="31" t="inlineStr">
        <is>
          <t>LEMBRETE: Enviar Melhoria da Página Inicial da W02</t>
        </is>
      </c>
      <c r="N9" s="33" t="inlineStr">
        <is>
          <t>Na semana 3, Dia 2 (segunda-feira) envie uma mensagem para lembrar os estudantes que não enviaram sua Tarefa da W02: Melhoria da Página Inicial do Estudante para que façam o envio.</t>
        </is>
      </c>
    </row>
    <row r="10">
      <c r="A10" s="1" t="inlineStr">
        <is>
          <t>WDD130</t>
        </is>
      </c>
      <c r="B10" s="1" t="inlineStr">
        <is>
          <t>Grader-Issued 0</t>
        </is>
      </c>
      <c r="C10" s="1" t="inlineStr">
        <is>
          <t>S02 Tarefa: Melhoria da Página Inicial</t>
        </is>
      </c>
      <c r="D10" s="23" t="n">
        <v>3</v>
      </c>
      <c r="E10" s="23" t="n">
        <v>4</v>
      </c>
      <c r="F10" s="23" t="n">
        <v>30</v>
      </c>
      <c r="G10" s="24" t="n"/>
      <c r="H10" s="24" t="inlineStr">
        <is>
          <t>y</t>
        </is>
      </c>
      <c r="I10" s="26">
        <f>DATE(YEAR(Setup!$C$4),MONTH(Setup!$C$4),DAY(Setup!$C$4)+((D10-1)*7)+(E10-WEEKDAY(DATE(YEAR(Setup!$C$4),MONTH(Setup!$C$4),DAY(Setup!$C$4)),1)))</f>
        <v/>
      </c>
      <c r="J10" s="26">
        <f>I10+3</f>
        <v/>
      </c>
      <c r="K10" s="26">
        <f>(I10 + (7 - WEEKDAY(I10,1))) + 1</f>
        <v/>
      </c>
      <c r="L10" s="23">
        <f>F10*G10</f>
        <v/>
      </c>
      <c r="M10" s="31" t="inlineStr">
        <is>
          <t>AVISO DE NOTA: O avaliador atribuiu nota 0 para a Melhoria da Página Inicial da W02</t>
        </is>
      </c>
      <c r="N10" s="33" t="inlineStr">
        <is>
          <t>Na semana 3, Dia 4 (quarta-feira), envie uma mensagem para os alunos que obtiveram nota 0% (0/30) na W02 Tarefa: Melhoria da Página Inicial. Uma nota de 0% provavelmente se deve a um link de envio incorreto.</t>
        </is>
      </c>
    </row>
    <row r="11">
      <c r="A11" s="1" t="inlineStr">
        <is>
          <t>WDD130</t>
        </is>
      </c>
      <c r="B11" s="1" t="inlineStr">
        <is>
          <t>High Performance</t>
        </is>
      </c>
      <c r="C11" s="1" t="inlineStr">
        <is>
          <t>S02 Tarefa: Melhoria da Página Inicial</t>
        </is>
      </c>
      <c r="D11" s="23" t="n">
        <v>3</v>
      </c>
      <c r="E11" s="23" t="n">
        <v>4</v>
      </c>
      <c r="F11" s="23" t="n">
        <v>30</v>
      </c>
      <c r="G11" s="24" t="n">
        <v>0.85</v>
      </c>
      <c r="H11" s="24" t="inlineStr">
        <is>
          <t>y</t>
        </is>
      </c>
      <c r="I11" s="26">
        <f>DATE(YEAR(Setup!$C$4),MONTH(Setup!$C$4),DAY(Setup!$C$4)+((D11-1)*7)+(E11-WEEKDAY(DATE(YEAR(Setup!$C$4),MONTH(Setup!$C$4),DAY(Setup!$C$4)),1)))</f>
        <v/>
      </c>
      <c r="J11" s="26">
        <f>I11+3</f>
        <v/>
      </c>
      <c r="K11" s="26">
        <f>(I11 + (7 - WEEKDAY(I11,1))) + 1</f>
        <v/>
      </c>
      <c r="L11" s="23">
        <f>F11*G11</f>
        <v/>
      </c>
      <c r="M11" s="34" t="inlineStr">
        <is>
          <t>ÓTIMA NOTA: Melhoria da Página Inicial da W02</t>
        </is>
      </c>
      <c r="N11" s="33" t="inlineStr">
        <is>
          <t>Na semana 3, Dia 4 (quarta-feira) envie uma mensagem para os estudantes que obtiveram mais de 100% (30/30 pts ou mais) na Tarefa da W02: Melhoria da Página Inicial. Parabenize-os pela conquista.</t>
        </is>
      </c>
    </row>
    <row r="12">
      <c r="A12" s="1" t="inlineStr">
        <is>
          <t>WDD130</t>
        </is>
      </c>
      <c r="B12" s="1" t="inlineStr">
        <is>
          <t>Low Performance</t>
        </is>
      </c>
      <c r="C12" s="1" t="inlineStr">
        <is>
          <t>S02 Tarefa: Melhoria da Página Inicial</t>
        </is>
      </c>
      <c r="D12" s="23" t="n">
        <v>3</v>
      </c>
      <c r="E12" s="23" t="n">
        <v>4</v>
      </c>
      <c r="F12" s="23" t="n">
        <v>30</v>
      </c>
      <c r="G12" s="24" t="n">
        <v>0.7</v>
      </c>
      <c r="H12" s="24" t="inlineStr">
        <is>
          <t>y</t>
        </is>
      </c>
      <c r="I12" s="26">
        <f>DATE(YEAR(Setup!$C$4),MONTH(Setup!$C$4),DAY(Setup!$C$4)+((D12-1)*7)+(E12-WEEKDAY(DATE(YEAR(Setup!$C$4),MONTH(Setup!$C$4),DAY(Setup!$C$4)),1)))</f>
        <v/>
      </c>
      <c r="J12" s="26">
        <f>I12+3</f>
        <v/>
      </c>
      <c r="K12" s="26">
        <f>(I12 + (7 - WEEKDAY(I12,1))) + 1</f>
        <v/>
      </c>
      <c r="L12" s="23">
        <f>F12*G12</f>
        <v/>
      </c>
      <c r="M12" s="35" t="inlineStr">
        <is>
          <t>ENTRANDO EM CONTATO: Melhoria da Página Inicial da W02</t>
        </is>
      </c>
      <c r="N12" s="32" t="inlineStr">
        <is>
          <t>Na semana 3, Dia 4 (quarta-feira) envie uma mensagem para os estudantes que obtiveram menos de 50% (15/30) na Tarefa da W02: Melhoria da Página Inicial. Pergunte aos estudantes se eles têm dúvidas ou preocupações.</t>
        </is>
      </c>
    </row>
    <row r="13">
      <c r="A13" s="1" t="inlineStr">
        <is>
          <t>WDD130</t>
        </is>
      </c>
      <c r="B13" s="1" t="inlineStr">
        <is>
          <t>Missing Assignment</t>
        </is>
      </c>
      <c r="C13" s="1" t="inlineStr">
        <is>
          <t>S03 Tarefa: Site de Rafting – Página Sobre Nós</t>
        </is>
      </c>
      <c r="D13" s="23" t="n">
        <v>4</v>
      </c>
      <c r="E13" s="23" t="n">
        <v>2</v>
      </c>
      <c r="F13" s="23" t="n">
        <v>30</v>
      </c>
      <c r="G13" s="24" t="n"/>
      <c r="H13" s="24" t="inlineStr">
        <is>
          <t>y</t>
        </is>
      </c>
      <c r="I13" s="26">
        <f>DATE(YEAR(Setup!$C$4),MONTH(Setup!$C$4),DAY(Setup!$C$4)+((D13-1)*7)+(E13-WEEKDAY(DATE(YEAR(Setup!$C$4),MONTH(Setup!$C$4),DAY(Setup!$C$4)),1)))</f>
        <v/>
      </c>
      <c r="J13" s="26">
        <f>I13+3</f>
        <v/>
      </c>
      <c r="K13" s="26">
        <f>(I13 + (7 - WEEKDAY(I13,1))) + 1</f>
        <v/>
      </c>
      <c r="L13" s="23">
        <f>F13*G13</f>
        <v/>
      </c>
      <c r="M13" s="31" t="inlineStr">
        <is>
          <t>LEMBRETE: Enviar W03 Site de Rafting - Página Sobre Nós</t>
        </is>
      </c>
      <c r="N13" s="33" t="inlineStr">
        <is>
          <t>Na semana 4, Dia 2 (segunda-feira), envie uma mensagem para lembrar os alunos que não enviaram o Projeto W03: Site de Rafting - Página Sobre Nós para que o enviem.</t>
        </is>
      </c>
    </row>
    <row r="14">
      <c r="A14" s="1" t="inlineStr">
        <is>
          <t>WDD130</t>
        </is>
      </c>
      <c r="B14" s="1" t="inlineStr">
        <is>
          <t>Grader-Issued 0</t>
        </is>
      </c>
      <c r="C14" s="1" t="inlineStr">
        <is>
          <t>S03 Tarefa: Site de Rafting – Página Sobre Nós</t>
        </is>
      </c>
      <c r="D14" s="23" t="n">
        <v>4</v>
      </c>
      <c r="E14" s="23" t="n">
        <v>4</v>
      </c>
      <c r="F14" s="23" t="n">
        <v>30</v>
      </c>
      <c r="G14" s="24" t="n"/>
      <c r="H14" s="24" t="inlineStr">
        <is>
          <t>y</t>
        </is>
      </c>
      <c r="I14" s="26">
        <f>DATE(YEAR(Setup!$C$4),MONTH(Setup!$C$4),DAY(Setup!$C$4)+((D14-1)*7)+(E14-WEEKDAY(DATE(YEAR(Setup!$C$4),MONTH(Setup!$C$4),DAY(Setup!$C$4)),1)))</f>
        <v/>
      </c>
      <c r="J14" s="26">
        <f>I14+3</f>
        <v/>
      </c>
      <c r="K14" s="26">
        <f>(I14 + (7 - WEEKDAY(I14,1))) + 1</f>
        <v/>
      </c>
      <c r="L14" s="23">
        <f>F14*G14</f>
        <v/>
      </c>
      <c r="M14" s="31" t="inlineStr">
        <is>
          <t>AVISO DE NOTA: O avaliador atribuiu nota 0 para W03 Site de Rafting - Página Sobre Nós</t>
        </is>
      </c>
      <c r="N14" s="33" t="inlineStr">
        <is>
          <t>Na semana 4, Dia 4 (quarta-feira), envie uma mensagem aos alunos que obtiveram nota menor que 0% (0/30 ou menos) na Tarefa W03: Página Inicial do Aluno. Isso pode ser devido ao envio do link errado ou por ter 8 ou mais 'x' na ferramenta de avaliação.</t>
        </is>
      </c>
    </row>
    <row r="15">
      <c r="A15" s="1" t="inlineStr">
        <is>
          <t>WDD130</t>
        </is>
      </c>
      <c r="B15" s="1" t="inlineStr">
        <is>
          <t>High Performance</t>
        </is>
      </c>
      <c r="C15" s="1" t="inlineStr">
        <is>
          <t>S03 Tarefa: Site de Rafting – Página Sobre Nós</t>
        </is>
      </c>
      <c r="D15" s="23" t="n">
        <v>4</v>
      </c>
      <c r="E15" s="23" t="n">
        <v>4</v>
      </c>
      <c r="F15" s="23" t="n">
        <v>30</v>
      </c>
      <c r="G15" s="24" t="n">
        <v>0.85</v>
      </c>
      <c r="H15" s="24" t="inlineStr">
        <is>
          <t>y</t>
        </is>
      </c>
      <c r="I15" s="26">
        <f>DATE(YEAR(Setup!$C$4),MONTH(Setup!$C$4),DAY(Setup!$C$4)+((D15-1)*7)+(E15-WEEKDAY(DATE(YEAR(Setup!$C$4),MONTH(Setup!$C$4),DAY(Setup!$C$4)),1)))</f>
        <v/>
      </c>
      <c r="J15" s="26">
        <f>I15+3</f>
        <v/>
      </c>
      <c r="K15" s="26">
        <f>(I15 + (7 - WEEKDAY(I15,1))) + 1</f>
        <v/>
      </c>
      <c r="L15" s="23">
        <f>F15*G15</f>
        <v/>
      </c>
      <c r="M15" s="34" t="inlineStr">
        <is>
          <t>EXCELENTE NOTA: W03 Rafting Site - About Us Page</t>
        </is>
      </c>
      <c r="N15" s="33" t="inlineStr">
        <is>
          <t>Na semana 4, Dia 4 (quarta-feira), envie uma mensagem para os estudantes que obtiveram mais de 83% (25/30 pts ou mais) no seu Projeto da W03: Site de Rafting - Página Sobre Nós. Parabenize-os pela conquista.</t>
        </is>
      </c>
    </row>
    <row r="16">
      <c r="A16" s="1" t="inlineStr">
        <is>
          <t>WDD130</t>
        </is>
      </c>
      <c r="B16" s="1" t="inlineStr">
        <is>
          <t>Low Performance</t>
        </is>
      </c>
      <c r="C16" s="1" t="inlineStr">
        <is>
          <t>S03 Tarefa: Site de Rafting – Página Sobre Nós</t>
        </is>
      </c>
      <c r="D16" s="23" t="n">
        <v>4</v>
      </c>
      <c r="E16" s="23" t="n">
        <v>4</v>
      </c>
      <c r="F16" s="23" t="n">
        <v>30</v>
      </c>
      <c r="G16" s="24" t="n">
        <v>0.7</v>
      </c>
      <c r="H16" s="24" t="inlineStr">
        <is>
          <t>y</t>
        </is>
      </c>
      <c r="I16" s="26">
        <f>DATE(YEAR(Setup!$C$4),MONTH(Setup!$C$4),DAY(Setup!$C$4)+((D16-1)*7)+(E16-WEEKDAY(DATE(YEAR(Setup!$C$4),MONTH(Setup!$C$4),DAY(Setup!$C$4)),1)))</f>
        <v/>
      </c>
      <c r="J16" s="26">
        <f>I16+3</f>
        <v/>
      </c>
      <c r="K16" s="26">
        <f>(I16 + (7 - WEEKDAY(I16,1))) + 1</f>
        <v/>
      </c>
      <c r="L16" s="23">
        <f>F16*G16</f>
        <v/>
      </c>
      <c r="M16" s="35" t="inlineStr">
        <is>
          <t>ACOMPANHAMENTO: W03 Rafting Site - About Us Page</t>
        </is>
      </c>
      <c r="N16" s="33" t="inlineStr">
        <is>
          <t>Na semana 4, no dia 4 (quarta-feira), envie uma mensagem aos alunos que obtiveram menos de 50% (15/30 ou menos) na Tarefa W03: Página Inicial do Aluno. Pergunte aos alunos se eles têm dúvidas ou preocupações.</t>
        </is>
      </c>
    </row>
    <row r="17">
      <c r="A17" s="1" t="inlineStr">
        <is>
          <t>WDD130</t>
        </is>
      </c>
      <c r="B17" s="1" t="inlineStr">
        <is>
          <t>Scheduled - Low Current Grade</t>
        </is>
      </c>
      <c r="C17" s="1" t="inlineStr">
        <is>
          <t>Lembrete de Desistência</t>
        </is>
      </c>
      <c r="D17" s="23" t="n">
        <v>4</v>
      </c>
      <c r="E17" s="23" t="n">
        <v>5</v>
      </c>
      <c r="G17" s="24" t="n">
        <v>0.5</v>
      </c>
      <c r="H17" s="24" t="inlineStr">
        <is>
          <t>y</t>
        </is>
      </c>
      <c r="I17" s="26">
        <f>DATE(YEAR(Setup!$C$4),MONTH(Setup!$C$4),DAY(Setup!$C$4)+((D17-1)*7)+(E17-WEEKDAY(DATE(YEAR(Setup!$C$4),MONTH(Setup!$C$4),DAY(Setup!$C$4)),1)))</f>
        <v/>
      </c>
      <c r="J17" s="26">
        <f>I17+3</f>
        <v/>
      </c>
      <c r="K17" s="26">
        <f>(I17 + (7 - WEEKDAY(I17,1))) + 1</f>
        <v/>
      </c>
      <c r="M17" s="31" t="inlineStr">
        <is>
          <t>LEMBRETE: AVISO DE TRANCAMENTO DE MATRÍCULA</t>
        </is>
      </c>
      <c r="N17" s="1" t="inlineStr">
        <is>
          <t>Na semana 4, Dia 5 (sexta-feira), lembre os alunos com notas baixas sobre o prazo limite para trancamento de matrícula</t>
        </is>
      </c>
    </row>
    <row r="18">
      <c r="A18" s="1" t="inlineStr">
        <is>
          <t>WDD130</t>
        </is>
      </c>
      <c r="B18" s="1" t="inlineStr">
        <is>
          <t>Missing Assignment</t>
        </is>
      </c>
      <c r="C18" s="1" t="inlineStr">
        <is>
          <t>S04 Tarefa: Site de Rafting – Atualização da Página Sobre Nós</t>
        </is>
      </c>
      <c r="D18" s="23" t="n">
        <v>5</v>
      </c>
      <c r="E18" s="23" t="n">
        <v>2</v>
      </c>
      <c r="F18" s="23" t="n">
        <v>30</v>
      </c>
      <c r="G18" s="24" t="n"/>
      <c r="H18" s="24" t="inlineStr">
        <is>
          <t>y</t>
        </is>
      </c>
      <c r="I18" s="26">
        <f>DATE(YEAR(Setup!$C$4),MONTH(Setup!$C$4),DAY(Setup!$C$4)+((D18-1)*7)+(E18-WEEKDAY(DATE(YEAR(Setup!$C$4),MONTH(Setup!$C$4),DAY(Setup!$C$4)),1)))</f>
        <v/>
      </c>
      <c r="J18" s="26">
        <f>I18+3</f>
        <v/>
      </c>
      <c r="K18" s="26">
        <f>(I18 + (7 - WEEKDAY(I18,1))) + 1</f>
        <v/>
      </c>
      <c r="L18" s="23">
        <f>F18*G18</f>
        <v/>
      </c>
      <c r="M18" s="31" t="inlineStr">
        <is>
          <t>LEMBRETE: Enviar Site de Rafting W04 - Atualizar página Sobre nós</t>
        </is>
      </c>
      <c r="N18" s="33" t="inlineStr">
        <is>
          <t>Na semana 5, Dia 2 (segunda-feira), envie uma mensagem para lembrar os alunos que não enviaram o Projeto da W04: Site de Rafting - Atualizar Página Quem Somos.</t>
        </is>
      </c>
    </row>
    <row r="19">
      <c r="A19" s="1" t="inlineStr">
        <is>
          <t>WDD130</t>
        </is>
      </c>
      <c r="B19" s="1" t="inlineStr">
        <is>
          <t>Grader-Issued 0</t>
        </is>
      </c>
      <c r="C19" s="1" t="inlineStr">
        <is>
          <t>S04 Tarefa: Site de Rafting – Atualização da Página Sobre Nós</t>
        </is>
      </c>
      <c r="D19" s="23" t="n">
        <v>5</v>
      </c>
      <c r="E19" s="23" t="n">
        <v>4</v>
      </c>
      <c r="F19" s="23" t="n">
        <v>30</v>
      </c>
      <c r="G19" s="24" t="n"/>
      <c r="H19" s="24" t="inlineStr">
        <is>
          <t>y</t>
        </is>
      </c>
      <c r="I19" s="26">
        <f>DATE(YEAR(Setup!$C$4),MONTH(Setup!$C$4),DAY(Setup!$C$4)+((D19-1)*7)+(E19-WEEKDAY(DATE(YEAR(Setup!$C$4),MONTH(Setup!$C$4),DAY(Setup!$C$4)),1)))</f>
        <v/>
      </c>
      <c r="J19" s="26">
        <f>I19+3</f>
        <v/>
      </c>
      <c r="K19" s="26">
        <f>(I19 + (7 - WEEKDAY(I19,1))) + 1</f>
        <v/>
      </c>
      <c r="L19" s="23">
        <f>F19*G19</f>
        <v/>
      </c>
      <c r="M19" s="31" t="inlineStr">
        <is>
          <t>AVISO DE NOTA: O Avaliador atribuiu 0 para Site de Rafting da W04 - Atualizar Página Sobre Nós</t>
        </is>
      </c>
      <c r="N19" s="33" t="inlineStr">
        <is>
          <t>Na semana 5, Dia 4 (quarta-feira), envie uma mensagem para os alunos que obtiveram menos de 0% (0/30) na Tarefa da W04: Melhoria da Página Inicial. Pergunte aos alunos se eles têm dúvidas ou preocupações.</t>
        </is>
      </c>
    </row>
    <row r="20">
      <c r="A20" s="1" t="inlineStr">
        <is>
          <t>WDD130</t>
        </is>
      </c>
      <c r="B20" s="1" t="inlineStr">
        <is>
          <t>High Performance</t>
        </is>
      </c>
      <c r="C20" s="1" t="inlineStr">
        <is>
          <t>S04 Tarefa: Site de Rafting – Atualização da Página Sobre Nós</t>
        </is>
      </c>
      <c r="D20" s="23" t="n">
        <v>5</v>
      </c>
      <c r="E20" s="23" t="n">
        <v>4</v>
      </c>
      <c r="F20" s="23" t="n">
        <v>30</v>
      </c>
      <c r="G20" s="24" t="n">
        <v>0.85</v>
      </c>
      <c r="H20" s="24" t="inlineStr">
        <is>
          <t>y</t>
        </is>
      </c>
      <c r="I20" s="26">
        <f>DATE(YEAR(Setup!$C$4),MONTH(Setup!$C$4),DAY(Setup!$C$4)+((D20-1)*7)+(E20-WEEKDAY(DATE(YEAR(Setup!$C$4),MONTH(Setup!$C$4),DAY(Setup!$C$4)),1)))</f>
        <v/>
      </c>
      <c r="J20" s="26">
        <f>I20+3</f>
        <v/>
      </c>
      <c r="K20" s="26">
        <f>(I20 + (7 - WEEKDAY(I20,1))) + 1</f>
        <v/>
      </c>
      <c r="L20" s="23">
        <f>F20*G20</f>
        <v/>
      </c>
      <c r="M20" s="34" t="inlineStr">
        <is>
          <t>ÓTIMA NOTA: Site de Rafting da W04 - Atualizar Página Sobre Nós</t>
        </is>
      </c>
      <c r="N20" s="33" t="inlineStr">
        <is>
          <t>Na semana 5, Dia 4 (quarta-feira), envie uma mensagem para os alunos que obtiveram pontuação superior a 85% (26/30 pontos ou mais) no Projeto da W04: Site de Rafting - Tarefa Atualizar Página Quem Somos. Parabenize-os pela conquista.</t>
        </is>
      </c>
    </row>
    <row r="21">
      <c r="A21" s="1" t="inlineStr">
        <is>
          <t>WDD130</t>
        </is>
      </c>
      <c r="B21" s="1" t="inlineStr">
        <is>
          <t>Low Performance</t>
        </is>
      </c>
      <c r="C21" s="1" t="inlineStr">
        <is>
          <t>S04 Tarefa: Site de Rafting – Atualização da Página Sobre Nós</t>
        </is>
      </c>
      <c r="D21" s="23" t="n">
        <v>5</v>
      </c>
      <c r="E21" s="23" t="n">
        <v>4</v>
      </c>
      <c r="F21" s="23" t="n">
        <v>30</v>
      </c>
      <c r="G21" s="24" t="n">
        <v>0.7</v>
      </c>
      <c r="H21" s="24" t="inlineStr">
        <is>
          <t>y</t>
        </is>
      </c>
      <c r="I21" s="26">
        <f>DATE(YEAR(Setup!$C$4),MONTH(Setup!$C$4),DAY(Setup!$C$4)+((D21-1)*7)+(E21-WEEKDAY(DATE(YEAR(Setup!$C$4),MONTH(Setup!$C$4),DAY(Setup!$C$4)),1)))</f>
        <v/>
      </c>
      <c r="J21" s="26">
        <f>I21+3</f>
        <v/>
      </c>
      <c r="K21" s="26">
        <f>(I21 + (7 - WEEKDAY(I21,1))) + 1</f>
        <v/>
      </c>
      <c r="L21" s="23">
        <f>F21*G21</f>
        <v/>
      </c>
      <c r="M21" s="35" t="inlineStr">
        <is>
          <t>ACOMPANHAMENTO: W04 Rafting Site - Update About Us Page</t>
        </is>
      </c>
      <c r="N21" s="33" t="inlineStr">
        <is>
          <t>Na semana 5, Dia 4 (quarta-feira), envie uma mensagem para os alunos que obtiveram pontuação inferior a 85% (25/30 ou menos) na Tarefa da W04: Melhoria da Página Inicial. Pergunte aos alunos se eles têm dúvidas ou preocupações.</t>
        </is>
      </c>
    </row>
    <row r="22">
      <c r="A22" s="1" t="inlineStr">
        <is>
          <t>WDD130</t>
        </is>
      </c>
      <c r="B22" s="1" t="inlineStr">
        <is>
          <t>Missing Assignment</t>
        </is>
      </c>
      <c r="C22" s="1" t="inlineStr">
        <is>
          <t>S05 Tarefa: Site de Rafting – Página Fale Conosco</t>
        </is>
      </c>
      <c r="D22" s="23" t="n">
        <v>6</v>
      </c>
      <c r="E22" s="23" t="n">
        <v>2</v>
      </c>
      <c r="F22" s="23" t="n">
        <v>30</v>
      </c>
      <c r="G22" s="24" t="n"/>
      <c r="H22" s="24" t="inlineStr">
        <is>
          <t>y</t>
        </is>
      </c>
      <c r="I22" s="26">
        <f>DATE(YEAR(Setup!$C$4),MONTH(Setup!$C$4),DAY(Setup!$C$4)+((D22-1)*7)+(E22-WEEKDAY(DATE(YEAR(Setup!$C$4),MONTH(Setup!$C$4),DAY(Setup!$C$4)),1)))</f>
        <v/>
      </c>
      <c r="J22" s="26">
        <f>I22+3</f>
        <v/>
      </c>
      <c r="K22" s="26">
        <f>(I22 + (7 - WEEKDAY(I22,1))) + 1</f>
        <v/>
      </c>
      <c r="L22" s="23">
        <f>F22*G22</f>
        <v/>
      </c>
      <c r="M22" s="31" t="inlineStr">
        <is>
          <t>LEMBRETE: Enviar Site de Rafting da W05 - Página Fale Conosco</t>
        </is>
      </c>
      <c r="N22" s="33" t="inlineStr">
        <is>
          <t>Na semana 6, Dia 2 (segunda-feira), envie uma mensagem para lembrar os alunos que não enviaram o Projeto da Semana 05: Site de Rafting - Página Fale Conosco para que o enviem</t>
        </is>
      </c>
    </row>
    <row r="23" customFormat="1" s="64">
      <c r="A23" s="1" t="inlineStr">
        <is>
          <t>WDD130</t>
        </is>
      </c>
      <c r="B23" s="1" t="inlineStr">
        <is>
          <t>Grader-Issued 0</t>
        </is>
      </c>
      <c r="C23" s="1" t="inlineStr">
        <is>
          <t>S05 Tarefa: Site de Rafting – Página Fale Conosco</t>
        </is>
      </c>
      <c r="D23" s="23" t="n">
        <v>6</v>
      </c>
      <c r="E23" s="23" t="n">
        <v>4</v>
      </c>
      <c r="F23" s="23" t="n">
        <v>30</v>
      </c>
      <c r="G23" s="24" t="n"/>
      <c r="H23" s="24" t="inlineStr">
        <is>
          <t>y</t>
        </is>
      </c>
      <c r="I23" s="26">
        <f>DATE(YEAR(Setup!$C$4),MONTH(Setup!$C$4),DAY(Setup!$C$4)+((D23-1)*7)+(E23-WEEKDAY(DATE(YEAR(Setup!$C$4),MONTH(Setup!$C$4),DAY(Setup!$C$4)),1)))</f>
        <v/>
      </c>
      <c r="J23" s="26">
        <f>I23+3</f>
        <v/>
      </c>
      <c r="K23" s="26">
        <f>(I23 + (7 - WEEKDAY(I23,1))) + 1</f>
        <v/>
      </c>
      <c r="L23" s="23">
        <f>F23*G23</f>
        <v/>
      </c>
      <c r="M23" s="31" t="inlineStr">
        <is>
          <t>AVISO DE NOTA: O avaliador atribuiu nota 0 para Site de Rafting da W05 - Página Fale Conosco.</t>
        </is>
      </c>
      <c r="N23" s="33" t="inlineStr">
        <is>
          <t>Na semana 6, Dia 4 (quarta-feira), envie uma mensagem para os alunos que obtiveram nota 0% (0/30) na Tarefa da W05: Rafting Site - Contact Us Page. Pergunte aos alunos se eles têm dúvidas ou preocupações.</t>
        </is>
      </c>
    </row>
    <row r="24" customFormat="1" s="64">
      <c r="A24" s="1" t="inlineStr">
        <is>
          <t>WDD130</t>
        </is>
      </c>
      <c r="B24" s="1" t="inlineStr">
        <is>
          <t>High Performance</t>
        </is>
      </c>
      <c r="C24" s="1" t="inlineStr">
        <is>
          <t>S05 Tarefa: Site de Rafting – Página Fale Conosco</t>
        </is>
      </c>
      <c r="D24" s="23" t="n">
        <v>6</v>
      </c>
      <c r="E24" s="23" t="n">
        <v>4</v>
      </c>
      <c r="F24" s="23" t="n">
        <v>30</v>
      </c>
      <c r="G24" s="24" t="n">
        <v>0.85</v>
      </c>
      <c r="H24" s="24" t="inlineStr">
        <is>
          <t>y</t>
        </is>
      </c>
      <c r="I24" s="26">
        <f>DATE(YEAR(Setup!$C$4),MONTH(Setup!$C$4),DAY(Setup!$C$4)+((D24-1)*7)+(E24-WEEKDAY(DATE(YEAR(Setup!$C$4),MONTH(Setup!$C$4),DAY(Setup!$C$4)),1)))</f>
        <v/>
      </c>
      <c r="J24" s="26">
        <f>I24+3</f>
        <v/>
      </c>
      <c r="K24" s="26">
        <f>(I24 + (7 - WEEKDAY(I24,1))) + 1</f>
        <v/>
      </c>
      <c r="L24" s="23">
        <f>F24*G24</f>
        <v/>
      </c>
      <c r="M24" s="34" t="inlineStr">
        <is>
          <t>ÓTIMA NOTA: Site de Rafting W05 - Página Fale conosco</t>
        </is>
      </c>
      <c r="N24" s="33" t="inlineStr">
        <is>
          <t>Na semana 6, dia 4 (quarta-feira), envie uma mensagem aos estudantes que obtiveram pontuação superior a 85% (26/30 pts ou mais) no Projeto W05: Rafting Site - Contact Us Page. Parabenize-os pela conquista.</t>
        </is>
      </c>
    </row>
    <row r="25" customFormat="1" s="64">
      <c r="A25" s="1" t="inlineStr">
        <is>
          <t>WDD130</t>
        </is>
      </c>
      <c r="B25" s="1" t="inlineStr">
        <is>
          <t>Low Performance</t>
        </is>
      </c>
      <c r="C25" s="1" t="inlineStr">
        <is>
          <t>S05 Tarefa: Site de Rafting – Página Fale Conosco</t>
        </is>
      </c>
      <c r="D25" s="23" t="n">
        <v>6</v>
      </c>
      <c r="E25" s="23" t="n">
        <v>4</v>
      </c>
      <c r="F25" s="23" t="n">
        <v>30</v>
      </c>
      <c r="G25" s="24" t="n">
        <v>0.7</v>
      </c>
      <c r="H25" s="24" t="inlineStr">
        <is>
          <t>y</t>
        </is>
      </c>
      <c r="I25" s="26">
        <f>DATE(YEAR(Setup!$C$4),MONTH(Setup!$C$4),DAY(Setup!$C$4)+((D25-1)*7)+(E25-WEEKDAY(DATE(YEAR(Setup!$C$4),MONTH(Setup!$C$4),DAY(Setup!$C$4)),1)))</f>
        <v/>
      </c>
      <c r="J25" s="26">
        <f>I25+3</f>
        <v/>
      </c>
      <c r="K25" s="26">
        <f>(I25 + (7 - WEEKDAY(I25,1))) + 1</f>
        <v/>
      </c>
      <c r="L25" s="23">
        <f>F25*G25</f>
        <v/>
      </c>
      <c r="M25" s="35" t="inlineStr">
        <is>
          <t>ACOMPANHAMENTO: W05 Rafting Site - Página Fale Conosco</t>
        </is>
      </c>
      <c r="N25" s="33" t="inlineStr">
        <is>
          <t>Na semana 6, Dia 4 (quarta-feira), envie uma mensagem para os alunos que obtiveram menos de 85% (25/30 ou menos) na Tarefa da W05: Site de Rafting - Página Fale Conosco. Pergunte aos alunos se eles têm dúvidas ou preocupações.</t>
        </is>
      </c>
    </row>
    <row r="26" customFormat="1" s="64">
      <c r="A26" s="1" t="inlineStr">
        <is>
          <t>WDD130</t>
        </is>
      </c>
      <c r="B26" s="1" t="inlineStr">
        <is>
          <t>Scheduled - Classwide</t>
        </is>
      </c>
      <c r="C26" s="1" t="inlineStr">
        <is>
          <t>Datas de Fim de Curso - Lembrete de Prova Final da S07</t>
        </is>
      </c>
      <c r="D26" s="23" t="n">
        <v>6</v>
      </c>
      <c r="E26" s="23" t="n">
        <v>5</v>
      </c>
      <c r="F26" s="23" t="n"/>
      <c r="G26" s="24" t="n"/>
      <c r="H26" s="24" t="inlineStr">
        <is>
          <t>y</t>
        </is>
      </c>
      <c r="I26" s="26">
        <f>DATE(YEAR(Setup!$C$4),MONTH(Setup!$C$4),DAY(Setup!$C$4)+((D26-1)*7)+(E26-WEEKDAY(DATE(YEAR(Setup!$C$4),MONTH(Setup!$C$4),DAY(Setup!$C$4)),1)))</f>
        <v/>
      </c>
      <c r="J26" s="26">
        <f>I26+3</f>
        <v/>
      </c>
      <c r="K26" s="26">
        <f>(I26 + (7 - WEEKDAY(I26,1))) + 1</f>
        <v/>
      </c>
      <c r="L26" s="23">
        <f>F26*G26</f>
        <v/>
      </c>
      <c r="M26" s="66" t="inlineStr">
        <is>
          <t>LEMBRETE: Fim do Período Letivo e Lembrete do Exame Final</t>
        </is>
      </c>
      <c r="N26" s="33" t="inlineStr">
        <is>
          <t>Na semana 6, Dia 6 (sexta-feira), envie uma mensagem e crie um anúncio lembrando todos os alunos das datas de término do bloco. Incentive os alunos a enviarem as tarefas o quanto antes.</t>
        </is>
      </c>
    </row>
    <row r="27" customFormat="1" s="64">
      <c r="A27" s="1" t="inlineStr">
        <is>
          <t>WDD130</t>
        </is>
      </c>
      <c r="B27" s="1" t="inlineStr">
        <is>
          <t>Scheduled - Classwide</t>
        </is>
      </c>
      <c r="C27" s="1" t="inlineStr">
        <is>
          <t>Lembrete de Matrícula 2</t>
        </is>
      </c>
      <c r="D27" s="23" t="n">
        <v>7</v>
      </c>
      <c r="E27" s="23" t="n">
        <v>2</v>
      </c>
      <c r="F27" s="23" t="n"/>
      <c r="G27" s="24" t="n"/>
      <c r="H27" s="24" t="inlineStr">
        <is>
          <t>y</t>
        </is>
      </c>
      <c r="I27" s="26">
        <f>DATE(YEAR(Setup!$C$4),MONTH(Setup!$C$4),DAY(Setup!$C$4)+((D27-1)*7)+(E27-WEEKDAY(DATE(YEAR(Setup!$C$4),MONTH(Setup!$C$4),DAY(Setup!$C$4)),1)))</f>
        <v/>
      </c>
      <c r="J27" s="26">
        <f>I27+3</f>
        <v/>
      </c>
      <c r="K27" s="26">
        <f>(I27 + (7 - WEEKDAY(I27,1))) + 1</f>
        <v/>
      </c>
      <c r="L27" s="23" t="n"/>
      <c r="M27" s="67" t="inlineStr">
        <is>
          <t>LEMBRETE: INSCREVA-SE PARA O PRÓXIMO BLOCO</t>
        </is>
      </c>
      <c r="N27" s="43" t="inlineStr">
        <is>
          <t>Na semana 7, Dia 2 (segunda-feira), lembre os alunos de que a inscrição para o próximo bloco ainda está aberta, mas será encerrada em breve. Incentive-os a acessar o sistema e se inscrever o quanto antes.</t>
        </is>
      </c>
    </row>
    <row r="28">
      <c r="G28" s="24" t="n"/>
      <c r="H28" s="24" t="n"/>
      <c r="I28" s="26" t="n"/>
      <c r="J28" s="26" t="n"/>
      <c r="K28" s="26" t="n"/>
    </row>
    <row r="29">
      <c r="G29" s="24" t="n"/>
      <c r="H29" s="24" t="n"/>
      <c r="I29" s="26" t="n"/>
      <c r="J29" s="26" t="n"/>
      <c r="K29" s="26" t="n"/>
    </row>
    <row r="30">
      <c r="G30" s="24" t="n"/>
      <c r="H30" s="24" t="n"/>
      <c r="I30" s="26" t="n"/>
      <c r="J30" s="26" t="n"/>
      <c r="K30" s="26" t="n"/>
    </row>
    <row r="31">
      <c r="G31" s="24" t="n"/>
      <c r="H31" s="24" t="n"/>
      <c r="I31" s="26" t="n"/>
      <c r="J31" s="26" t="n"/>
      <c r="K31" s="26" t="n"/>
    </row>
    <row r="32">
      <c r="G32" s="24" t="n"/>
      <c r="H32" s="24" t="n"/>
      <c r="I32" s="26" t="n"/>
      <c r="J32" s="26" t="n"/>
      <c r="K32" s="26" t="n"/>
    </row>
    <row r="33">
      <c r="G33" s="24" t="n"/>
      <c r="H33" s="24" t="n"/>
      <c r="I33" s="26" t="n"/>
      <c r="J33" s="26" t="n"/>
      <c r="K33" s="26" t="n"/>
    </row>
    <row r="34">
      <c r="G34" s="24" t="n"/>
      <c r="H34" s="24" t="n"/>
      <c r="I34" s="26" t="n"/>
      <c r="J34" s="26" t="n"/>
      <c r="K34" s="26" t="n"/>
    </row>
    <row r="35">
      <c r="G35" s="24" t="n"/>
      <c r="H35" s="24" t="n"/>
      <c r="I35" s="26" t="n"/>
      <c r="J35" s="26" t="n"/>
      <c r="K35" s="26" t="n"/>
    </row>
    <row r="36">
      <c r="G36" s="24" t="n"/>
      <c r="H36" s="24" t="n"/>
      <c r="I36" s="26" t="n"/>
      <c r="J36" s="26" t="n"/>
      <c r="K36" s="26" t="n"/>
    </row>
    <row r="37">
      <c r="G37" s="24" t="n"/>
      <c r="H37" s="24" t="n"/>
      <c r="I37" s="26" t="n"/>
      <c r="J37" s="26" t="n"/>
      <c r="K37" s="26" t="n"/>
    </row>
    <row r="38">
      <c r="G38" s="24" t="n"/>
      <c r="H38" s="24" t="n"/>
      <c r="I38" s="26" t="n"/>
      <c r="J38" s="26" t="n"/>
      <c r="K38" s="26" t="n"/>
    </row>
    <row r="39">
      <c r="G39" s="24" t="n"/>
      <c r="H39" s="24" t="n"/>
      <c r="I39" s="26" t="n"/>
      <c r="J39" s="26" t="n"/>
      <c r="K39" s="26" t="n"/>
    </row>
    <row r="40">
      <c r="G40" s="24" t="n"/>
      <c r="H40" s="24" t="n"/>
      <c r="I40" s="26" t="n"/>
      <c r="J40" s="26" t="n"/>
      <c r="K40" s="26" t="n"/>
    </row>
    <row r="41">
      <c r="G41" s="24" t="n"/>
      <c r="H41" s="24" t="n"/>
      <c r="I41" s="26" t="n"/>
      <c r="J41" s="26" t="n"/>
      <c r="K41" s="26" t="n"/>
    </row>
    <row r="42">
      <c r="G42" s="24" t="n"/>
      <c r="H42" s="24" t="n"/>
      <c r="I42" s="26" t="n"/>
      <c r="J42" s="26" t="n"/>
      <c r="K42" s="26" t="n"/>
    </row>
    <row r="43">
      <c r="G43" s="24" t="n"/>
      <c r="H43" s="24" t="n"/>
      <c r="I43" s="26" t="n"/>
      <c r="J43" s="26" t="n"/>
      <c r="K43" s="26" t="n"/>
    </row>
    <row r="44">
      <c r="G44" s="24" t="n"/>
      <c r="H44" s="24" t="n"/>
      <c r="I44" s="26" t="n"/>
      <c r="J44" s="26" t="n"/>
      <c r="K44" s="26" t="n"/>
    </row>
    <row r="45">
      <c r="G45" s="24" t="n"/>
      <c r="H45" s="24" t="n"/>
      <c r="I45" s="26" t="n"/>
      <c r="J45" s="26" t="n"/>
      <c r="K45" s="26" t="n"/>
    </row>
    <row r="46">
      <c r="G46" s="24" t="n"/>
      <c r="H46" s="24" t="n"/>
      <c r="I46" s="26" t="n"/>
      <c r="J46" s="26" t="n"/>
      <c r="K46" s="26" t="n"/>
    </row>
    <row r="47">
      <c r="G47" s="24" t="n"/>
      <c r="H47" s="24" t="n"/>
      <c r="I47" s="26" t="n"/>
      <c r="J47" s="26" t="n"/>
      <c r="K47" s="26" t="n"/>
    </row>
    <row r="48">
      <c r="G48" s="24" t="n"/>
      <c r="H48" s="24" t="n"/>
      <c r="I48" s="26" t="n"/>
      <c r="J48" s="26" t="n"/>
      <c r="K48" s="26" t="n"/>
    </row>
    <row r="49">
      <c r="G49" s="24" t="n"/>
      <c r="H49" s="24" t="n"/>
      <c r="I49" s="26" t="n"/>
      <c r="J49" s="26" t="n"/>
      <c r="K49" s="26" t="n"/>
    </row>
    <row r="50">
      <c r="G50" s="24" t="n"/>
      <c r="H50" s="24" t="n"/>
      <c r="I50" s="26" t="n"/>
      <c r="J50" s="26" t="n"/>
      <c r="K50" s="26" t="n"/>
    </row>
    <row r="51">
      <c r="G51" s="24" t="n"/>
      <c r="H51" s="24" t="n"/>
      <c r="I51" s="26" t="n"/>
      <c r="J51" s="26" t="n"/>
      <c r="K51" s="26" t="n"/>
    </row>
    <row r="52">
      <c r="G52" s="24" t="n"/>
      <c r="H52" s="24" t="n"/>
      <c r="I52" s="26" t="n"/>
      <c r="J52" s="26" t="n"/>
      <c r="K52" s="26" t="n"/>
    </row>
    <row r="53">
      <c r="G53" s="24" t="n"/>
      <c r="H53" s="24" t="n"/>
      <c r="I53" s="26" t="n"/>
      <c r="J53" s="26" t="n"/>
      <c r="K53" s="26" t="n"/>
    </row>
    <row r="54">
      <c r="G54" s="24" t="n"/>
      <c r="H54" s="24" t="n"/>
      <c r="I54" s="26" t="n"/>
      <c r="J54" s="26" t="n"/>
      <c r="K54" s="26" t="n"/>
    </row>
    <row r="55">
      <c r="G55" s="24" t="n"/>
      <c r="H55" s="24" t="n"/>
      <c r="I55" s="26" t="n"/>
      <c r="J55" s="26" t="n"/>
      <c r="K55" s="26" t="n"/>
    </row>
    <row r="56">
      <c r="G56" s="24" t="n"/>
      <c r="H56" s="24" t="n"/>
      <c r="I56" s="26" t="n"/>
      <c r="J56" s="26" t="n"/>
      <c r="K56" s="26" t="n"/>
    </row>
    <row r="57">
      <c r="G57" s="24" t="n"/>
      <c r="H57" s="24" t="n"/>
      <c r="I57" s="26" t="n"/>
      <c r="J57" s="26" t="n"/>
      <c r="K57" s="26" t="n"/>
    </row>
    <row r="58">
      <c r="G58" s="24" t="n"/>
      <c r="H58" s="24" t="n"/>
      <c r="I58" s="26" t="n"/>
      <c r="J58" s="26" t="n"/>
      <c r="K58" s="26" t="n"/>
    </row>
    <row r="59">
      <c r="G59" s="24" t="n"/>
      <c r="H59" s="24" t="n"/>
      <c r="I59" s="26" t="n"/>
      <c r="J59" s="26" t="n"/>
      <c r="K59" s="26" t="n"/>
    </row>
    <row r="60">
      <c r="G60" s="24" t="n"/>
      <c r="H60" s="24" t="n"/>
      <c r="I60" s="26" t="n"/>
      <c r="J60" s="26" t="n"/>
      <c r="K60" s="26" t="n"/>
    </row>
    <row r="61">
      <c r="G61" s="24" t="n"/>
      <c r="H61" s="24" t="n"/>
      <c r="I61" s="26" t="n"/>
      <c r="J61" s="26" t="n"/>
      <c r="K61" s="26" t="n"/>
    </row>
    <row r="62">
      <c r="G62" s="24" t="n"/>
      <c r="H62" s="24" t="n"/>
      <c r="I62" s="26" t="n"/>
      <c r="J62" s="26" t="n"/>
      <c r="K62" s="26" t="n"/>
    </row>
    <row r="63">
      <c r="G63" s="24" t="n"/>
      <c r="H63" s="24" t="n"/>
      <c r="I63" s="26" t="n"/>
      <c r="J63" s="26" t="n"/>
      <c r="K63" s="26" t="n"/>
    </row>
    <row r="64">
      <c r="G64" s="24" t="n"/>
      <c r="H64" s="24" t="n"/>
      <c r="I64" s="26" t="n"/>
      <c r="J64" s="26" t="n"/>
      <c r="K64" s="26" t="n"/>
    </row>
    <row r="65">
      <c r="G65" s="24" t="n"/>
      <c r="H65" s="24" t="n"/>
      <c r="I65" s="26" t="n"/>
      <c r="J65" s="26" t="n"/>
      <c r="K65" s="26" t="n"/>
    </row>
    <row r="66">
      <c r="G66" s="24" t="n"/>
      <c r="H66" s="24" t="n"/>
      <c r="I66" s="26" t="n"/>
      <c r="J66" s="26" t="n"/>
      <c r="K66" s="26" t="n"/>
    </row>
    <row r="67">
      <c r="G67" s="24" t="n"/>
      <c r="H67" s="24" t="n"/>
      <c r="I67" s="26" t="n"/>
      <c r="J67" s="26" t="n"/>
      <c r="K67" s="26" t="n"/>
    </row>
    <row r="68">
      <c r="G68" s="24" t="n"/>
      <c r="H68" s="24" t="n"/>
      <c r="I68" s="26" t="n"/>
      <c r="J68" s="26" t="n"/>
      <c r="K68" s="26" t="n"/>
    </row>
    <row r="69">
      <c r="G69" s="24" t="n"/>
      <c r="H69" s="24" t="n"/>
      <c r="I69" s="26" t="n"/>
      <c r="J69" s="26" t="n"/>
      <c r="K69" s="26" t="n"/>
    </row>
    <row r="70">
      <c r="G70" s="24" t="n"/>
      <c r="H70" s="24" t="n"/>
      <c r="I70" s="26" t="n"/>
      <c r="J70" s="26" t="n"/>
      <c r="K70" s="26" t="n"/>
    </row>
  </sheetData>
  <sheetProtection selectLockedCells="1" selectUnlockedCells="0" algorithmName="SHA-512" sheet="1" objects="0" insertRows="0" insertHyperlinks="1" autoFilter="0" scenarios="0" formatColumns="1" deleteColumns="1" insertColumns="1" pivotTables="1" deleteRows="0" formatCells="0" saltValue="QSaCNyzrCTre3VKHMP1YYg==" formatRows="0" sort="0" spinCount="100000" hashValue="Lf5GCAOM+bbnlCwCgAkqyh7/Oy/IGXJJLJrf0jflRp7WbXFJlsm7/75gmQCca+yndAnzQ1uX7jwyzpnuozxamA=="/>
  <autoFilter ref="A1:N27"/>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8.xml><?xml version="1.0" encoding="utf-8"?>
<worksheet xmlns="http://schemas.openxmlformats.org/spreadsheetml/2006/main">
  <sheetPr codeName="Sheet16">
    <tabColor rgb="FF00B050"/>
    <outlinePr summaryBelow="1" summaryRight="1"/>
    <pageSetUpPr/>
  </sheetPr>
  <dimension ref="A1:N32"/>
  <sheetViews>
    <sheetView workbookViewId="0">
      <pane xSplit="3" topLeftCell="M1" activePane="topRight" state="frozen"/>
      <selection pane="topRight" activeCell="C10" sqref="C10"/>
      <selection activeCell="F30" sqref="F30"/>
    </sheetView>
  </sheetViews>
  <sheetFormatPr baseColWidth="8" defaultColWidth="8.85546875" defaultRowHeight="15"/>
  <cols>
    <col width="13" customWidth="1" style="1" min="1" max="1"/>
    <col width="24.28515625" customWidth="1" style="1" min="2" max="2"/>
    <col width="62.85546875" customWidth="1" style="1" min="3" max="3"/>
    <col width="14.42578125" customWidth="1" style="23" min="4" max="4"/>
    <col width="14" customWidth="1" style="23" min="5" max="6"/>
    <col width="18.42578125" customWidth="1" style="23" min="7" max="7"/>
    <col hidden="1" width="14.140625" customWidth="1" style="23"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WDD131</t>
        </is>
      </c>
      <c r="B2" s="1" t="inlineStr">
        <is>
          <t>New Student Added</t>
        </is>
      </c>
      <c r="D2" s="23" t="n">
        <v>0</v>
      </c>
      <c r="E2" s="23" t="n">
        <v>2</v>
      </c>
      <c r="G2" s="24" t="n"/>
      <c r="H2" s="24" t="inlineStr">
        <is>
          <t>y</t>
        </is>
      </c>
      <c r="I2" s="26">
        <f>DATE(YEAR(Setup!$C$4),MONTH(Setup!$C$4),DAY(Setup!$C$4)+((D2-1)*7)+(E2-WEEKDAY(DATE(YEAR(Setup!$C$4),MONTH(Setup!$C$4),DAY(Setup!$C$4)),1)))</f>
        <v/>
      </c>
      <c r="J2" s="26">
        <f>I2+3</f>
        <v/>
      </c>
      <c r="K2" s="26">
        <f>(I2 + (7 - WEEKDAY(I2,1))) + 1</f>
        <v/>
      </c>
      <c r="L2" s="23">
        <f>F2*G2</f>
        <v/>
      </c>
      <c r="M2" s="1" t="inlineStr">
        <is>
          <t>E-mail de Boas-vindas</t>
        </is>
      </c>
    </row>
    <row r="3">
      <c r="A3" s="1" t="inlineStr">
        <is>
          <t>WDD131</t>
        </is>
      </c>
      <c r="B3" s="1" t="inlineStr">
        <is>
          <t>Scheduled - Not Logged In</t>
        </is>
      </c>
      <c r="C3" s="1" t="inlineStr">
        <is>
          <t>Não Acessou</t>
        </is>
      </c>
      <c r="D3" s="23" t="n">
        <v>1</v>
      </c>
      <c r="E3" s="23" t="n">
        <v>4</v>
      </c>
      <c r="G3" s="24" t="n"/>
      <c r="H3" s="24" t="inlineStr">
        <is>
          <t>y</t>
        </is>
      </c>
      <c r="I3" s="26">
        <f>DATE(YEAR(Setup!$C$4),MONTH(Setup!$C$4),DAY(Setup!$C$4)+((D3-1)*7)+(E3-WEEKDAY(DATE(YEAR(Setup!$C$4),MONTH(Setup!$C$4),DAY(Setup!$C$4)),1)))</f>
        <v/>
      </c>
      <c r="J3" s="26">
        <f>I3+3</f>
        <v/>
      </c>
      <c r="K3" s="26">
        <f>(I3 + (7 - WEEKDAY(I3,1))) + 1</f>
        <v/>
      </c>
      <c r="L3" s="23">
        <f>F3*G3</f>
        <v/>
      </c>
      <c r="M3" s="1" t="inlineStr">
        <is>
          <t>Não fez login no Canvas</t>
        </is>
      </c>
      <c r="N3" s="43" t="inlineStr">
        <is>
          <t>Envie um e-mail (fora do IMS) para os estudantes que não fizeram login no Canvas, lembrando-os de que o período letivo começou e incentivando-os a começar.</t>
        </is>
      </c>
    </row>
    <row r="4">
      <c r="A4" s="1" t="inlineStr">
        <is>
          <t>WDD131</t>
        </is>
      </c>
      <c r="B4" s="1" t="inlineStr">
        <is>
          <t>Missing Assignment</t>
        </is>
      </c>
      <c r="C4" s="45" t="inlineStr">
        <is>
          <t>S01 Tarefa: Página Inicial</t>
        </is>
      </c>
      <c r="D4" s="23" t="n">
        <v>2</v>
      </c>
      <c r="E4" s="23" t="n">
        <v>2</v>
      </c>
      <c r="G4" s="24" t="inlineStr">
        <is>
          <t xml:space="preserve"> </t>
        </is>
      </c>
      <c r="H4" s="24" t="inlineStr">
        <is>
          <t>y</t>
        </is>
      </c>
      <c r="I4" s="26">
        <f>DATE(YEAR(Setup!$C$4),MONTH(Setup!$C$4),DAY(Setup!$C$4)+((D4-1)*7)+(E4-WEEKDAY(DATE(YEAR(Setup!$C$4),MONTH(Setup!$C$4),DAY(Setup!$C$4)),1)))</f>
        <v/>
      </c>
      <c r="J4" s="26">
        <f>I4+3</f>
        <v/>
      </c>
      <c r="K4" s="26">
        <f>(I4 + (7 - WEEKDAY(I4,1))) + 1</f>
        <v/>
      </c>
      <c r="L4" s="23">
        <f>F4*G4</f>
        <v/>
      </c>
      <c r="M4" s="1" t="inlineStr">
        <is>
          <t>Tarefa Pendente:Tarefa da W01: Página Inicial</t>
        </is>
      </c>
      <c r="N4" s="1" t="inlineStr">
        <is>
          <t>Entre em contato com o estudante que não entregou a Tarefa da W01: Página Inicial</t>
        </is>
      </c>
    </row>
    <row r="5">
      <c r="A5" s="1" t="inlineStr">
        <is>
          <t>WDD131</t>
        </is>
      </c>
      <c r="B5" s="1" t="inlineStr">
        <is>
          <t>Quiz Question</t>
        </is>
      </c>
      <c r="C5" s="1" t="inlineStr">
        <is>
          <t>S01 Atualização de Status em 60 Segundos: NeedHelp Resposta: Sim</t>
        </is>
      </c>
      <c r="D5" s="23" t="n">
        <v>2</v>
      </c>
      <c r="E5" s="23" t="n">
        <v>2</v>
      </c>
      <c r="G5" s="24" t="n"/>
      <c r="H5" s="24" t="inlineStr">
        <is>
          <t>y</t>
        </is>
      </c>
      <c r="I5" s="26">
        <f>DATE(YEAR(Setup!$C$4),MONTH(Setup!$C$4),DAY(Setup!$C$4)+((D5-1)*7)+(E5-WEEKDAY(DATE(YEAR(Setup!$C$4),MONTH(Setup!$C$4),DAY(Setup!$C$4)),1)))</f>
        <v/>
      </c>
      <c r="J5" s="26">
        <f>I5+3</f>
        <v/>
      </c>
      <c r="K5" s="26">
        <f>(I5 + (7 - WEEKDAY(I5,1))) + 1</f>
        <v/>
      </c>
      <c r="L5" s="23">
        <f>F5*G5</f>
        <v/>
      </c>
      <c r="M5" s="1" t="inlineStr">
        <is>
          <t>Resposta à Atualização de Status de 60 segundos da W01. O aluno se sente sobrecarregado.</t>
        </is>
      </c>
      <c r="N5" s="1" t="inlineStr">
        <is>
          <t>O aluno respondeu que se sente sobrecarregado na Atualização de Status de 60 segundos da W01. Entre em contato com o aluno para ver como você pode ajudar.</t>
        </is>
      </c>
    </row>
    <row r="6">
      <c r="A6" s="1" t="inlineStr">
        <is>
          <t>WDD131</t>
        </is>
      </c>
      <c r="B6" s="1" t="inlineStr">
        <is>
          <t>Grader-Issued 0</t>
        </is>
      </c>
      <c r="C6" s="45" t="inlineStr">
        <is>
          <t>S01 Tarefa: Página Inicial</t>
        </is>
      </c>
      <c r="D6" s="23" t="n">
        <v>2</v>
      </c>
      <c r="E6" s="23" t="n">
        <v>4</v>
      </c>
      <c r="F6" s="23" t="n">
        <v>50</v>
      </c>
      <c r="G6" s="24" t="n"/>
      <c r="H6" s="24" t="inlineStr">
        <is>
          <t>y</t>
        </is>
      </c>
      <c r="I6" s="26">
        <f>DATE(YEAR(Setup!$C$4),MONTH(Setup!$C$4),DAY(Setup!$C$4)+((D6-1)*7)+(E6-WEEKDAY(DATE(YEAR(Setup!$C$4),MONTH(Setup!$C$4),DAY(Setup!$C$4)),1)))</f>
        <v/>
      </c>
      <c r="J6" s="26">
        <f>I6+3</f>
        <v/>
      </c>
      <c r="K6" s="26">
        <f>(I6 + (7 - WEEKDAY(I6,1))) + 1</f>
        <v/>
      </c>
      <c r="L6" s="23">
        <f>F6*G6</f>
        <v/>
      </c>
      <c r="M6" s="1" t="inlineStr">
        <is>
          <t>O aluno recebeu nota 0 atribuída pelo Corretor na Tarefa da W01: Página Inicial</t>
        </is>
      </c>
      <c r="N6" s="44" t="inlineStr">
        <is>
          <t>O avaliador atribuiu nota 0 para a Tarefa da W01: Página Inicial. Faça login no Canvas e veja os comentários do avaliador. Trabalhe com o estudante para ajudá-lo a reenviar.</t>
        </is>
      </c>
    </row>
    <row r="7">
      <c r="A7" s="1" t="inlineStr">
        <is>
          <t>WDD131</t>
        </is>
      </c>
      <c r="B7" s="1" t="inlineStr">
        <is>
          <t>High Performance</t>
        </is>
      </c>
      <c r="C7" s="45" t="inlineStr">
        <is>
          <t>S01 Tarefa: Página Inicial</t>
        </is>
      </c>
      <c r="D7" s="23" t="n">
        <v>2</v>
      </c>
      <c r="E7" s="23" t="n">
        <v>5</v>
      </c>
      <c r="F7" s="23" t="n">
        <v>50</v>
      </c>
      <c r="G7" s="24" t="n">
        <v>0.9</v>
      </c>
      <c r="H7" s="24" t="inlineStr">
        <is>
          <t>y</t>
        </is>
      </c>
      <c r="I7" s="26">
        <f>DATE(YEAR(Setup!$C$4),MONTH(Setup!$C$4),DAY(Setup!$C$4)+((D7-1)*7)+(E7-WEEKDAY(DATE(YEAR(Setup!$C$4),MONTH(Setup!$C$4),DAY(Setup!$C$4)),1)))</f>
        <v/>
      </c>
      <c r="J7" s="26">
        <f>I7+3</f>
        <v/>
      </c>
      <c r="K7" s="26">
        <f>(I7 + (7 - WEEKDAY(I7,1))) + 1</f>
        <v/>
      </c>
      <c r="L7" s="23">
        <f>F7*G7</f>
        <v/>
      </c>
      <c r="M7" s="1" t="inlineStr">
        <is>
          <t>Alto Desempenho: Tarefa da W01: Página Inicial</t>
        </is>
      </c>
      <c r="N7" s="1" t="inlineStr">
        <is>
          <t>Fornecer Feedback Positivo na Tarefa da W01: Página Inicial</t>
        </is>
      </c>
    </row>
    <row r="8">
      <c r="A8" s="1" t="inlineStr">
        <is>
          <t>WDD131</t>
        </is>
      </c>
      <c r="B8" s="1" t="inlineStr">
        <is>
          <t>Low Performance</t>
        </is>
      </c>
      <c r="C8" s="45" t="inlineStr">
        <is>
          <t>S01 Tarefa: Página Inicial</t>
        </is>
      </c>
      <c r="D8" s="23" t="n">
        <v>2</v>
      </c>
      <c r="E8" s="23" t="n">
        <v>5</v>
      </c>
      <c r="F8" s="23" t="n">
        <v>50</v>
      </c>
      <c r="G8" s="24" t="n">
        <v>0.7</v>
      </c>
      <c r="H8" s="24" t="inlineStr">
        <is>
          <t>y</t>
        </is>
      </c>
      <c r="I8" s="26">
        <f>DATE(YEAR(Setup!$C$4),MONTH(Setup!$C$4),DAY(Setup!$C$4)+((D8-1)*7)+(E8-WEEKDAY(DATE(YEAR(Setup!$C$4),MONTH(Setup!$C$4),DAY(Setup!$C$4)),1)))</f>
        <v/>
      </c>
      <c r="J8" s="26">
        <f>I8+3</f>
        <v/>
      </c>
      <c r="K8" s="26">
        <f>(I8 + (7 - WEEKDAY(I8,1))) + 1</f>
        <v/>
      </c>
      <c r="L8" s="23">
        <f>F8*G8</f>
        <v/>
      </c>
      <c r="M8" s="1" t="inlineStr">
        <is>
          <t>Baixo Desempenho: Tarefa W01: Página Inicial</t>
        </is>
      </c>
      <c r="N8" s="1" t="inlineStr">
        <is>
          <t>Em risco. O aluno pontuou abaixo de 70% na Tarefa da W01: Página Inicial. Entre em contato para ver como pode ajudar.</t>
        </is>
      </c>
    </row>
    <row r="9">
      <c r="A9" s="1" t="inlineStr">
        <is>
          <t>WDD131</t>
        </is>
      </c>
      <c r="B9" s="1" t="inlineStr">
        <is>
          <t>Missing Assignment</t>
        </is>
      </c>
      <c r="C9" s="45" t="inlineStr">
        <is>
          <t>S02 Tarefa: Álbum de Imagens</t>
        </is>
      </c>
      <c r="D9" s="23" t="n">
        <v>3</v>
      </c>
      <c r="E9" s="23" t="n">
        <v>2</v>
      </c>
      <c r="G9" s="24" t="n"/>
      <c r="H9" s="24" t="inlineStr">
        <is>
          <t>y</t>
        </is>
      </c>
      <c r="I9" s="26">
        <f>DATE(YEAR(Setup!$C$4),MONTH(Setup!$C$4),DAY(Setup!$C$4)+((D9-1)*7)+(E9-WEEKDAY(DATE(YEAR(Setup!$C$4),MONTH(Setup!$C$4),DAY(Setup!$C$4)),1)))</f>
        <v/>
      </c>
      <c r="J9" s="26">
        <f>I9+3</f>
        <v/>
      </c>
      <c r="K9" s="26">
        <f>(I9 + (7 - WEEKDAY(I9,1))) + 1</f>
        <v/>
      </c>
      <c r="L9" s="23">
        <f>F9*G9</f>
        <v/>
      </c>
      <c r="M9" s="1" t="inlineStr">
        <is>
          <t>Tarefa Não Entregue: Tarefa da W02: Álbum de Fotos</t>
        </is>
      </c>
      <c r="N9" s="1" t="inlineStr">
        <is>
          <t>Fazer acompanhamento com o aluno que não enviou a W02 Tarefa: Álbum de Fotos</t>
        </is>
      </c>
    </row>
    <row r="10">
      <c r="A10" s="1" t="inlineStr">
        <is>
          <t>WDD131</t>
        </is>
      </c>
      <c r="B10" s="1" t="inlineStr">
        <is>
          <t>Quiz Question</t>
        </is>
      </c>
      <c r="C10" s="1" t="inlineStr">
        <is>
          <t>S02 Atualização de Status em 60 Segundos: NeedHelp Resposta: Sim</t>
        </is>
      </c>
      <c r="D10" s="23" t="n">
        <v>3</v>
      </c>
      <c r="E10" s="23" t="n">
        <v>2</v>
      </c>
      <c r="G10" s="24" t="n"/>
      <c r="H10" s="24" t="inlineStr">
        <is>
          <t>y</t>
        </is>
      </c>
      <c r="I10" s="26">
        <f>DATE(YEAR(Setup!$C$4),MONTH(Setup!$C$4),DAY(Setup!$C$4)+((D10-1)*7)+(E10-WEEKDAY(DATE(YEAR(Setup!$C$4),MONTH(Setup!$C$4),DAY(Setup!$C$4)),1)))</f>
        <v/>
      </c>
      <c r="J10" s="26">
        <f>I10+3</f>
        <v/>
      </c>
      <c r="K10" s="26">
        <f>(I10 + (7 - WEEKDAY(I10,1))) + 1</f>
        <v/>
      </c>
      <c r="L10" s="23">
        <f>F10*G10</f>
        <v/>
      </c>
      <c r="M10" s="1" t="inlineStr">
        <is>
          <t>Resposta à Atualização de Status de 60 segundos da W02. O estudante se sente sobrecarregado.</t>
        </is>
      </c>
      <c r="N10" s="1" t="inlineStr">
        <is>
          <t>O aluno respondeu que está se sentindo sobrecarregado na Atualização de Status de 60 segundos da W02. Entre em contato com o aluno para ver como você pode ajudar.</t>
        </is>
      </c>
    </row>
    <row r="11">
      <c r="A11" s="1" t="inlineStr">
        <is>
          <t>WDD131</t>
        </is>
      </c>
      <c r="B11" s="1" t="inlineStr">
        <is>
          <t>Grader-Issued 0</t>
        </is>
      </c>
      <c r="C11" s="45" t="inlineStr">
        <is>
          <t>S02 Tarefa: Álbum de Imagens</t>
        </is>
      </c>
      <c r="D11" s="23" t="n">
        <v>3</v>
      </c>
      <c r="E11" s="23" t="n">
        <v>4</v>
      </c>
      <c r="F11" s="23" t="n">
        <v>50</v>
      </c>
      <c r="G11" s="24" t="n"/>
      <c r="H11" s="24" t="inlineStr">
        <is>
          <t>y</t>
        </is>
      </c>
      <c r="I11" s="26">
        <f>DATE(YEAR(Setup!$C$4),MONTH(Setup!$C$4),DAY(Setup!$C$4)+((D11-1)*7)+(E11-WEEKDAY(DATE(YEAR(Setup!$C$4),MONTH(Setup!$C$4),DAY(Setup!$C$4)),1)))</f>
        <v/>
      </c>
      <c r="J11" s="26">
        <f>I11+3</f>
        <v/>
      </c>
      <c r="K11" s="26">
        <f>(I11 + (7 - WEEKDAY(I11,1))) + 1</f>
        <v/>
      </c>
      <c r="L11" s="23">
        <f>F11*G11</f>
        <v/>
      </c>
      <c r="M11" s="1" t="inlineStr">
        <is>
          <t>O estudante recebeu uma nota 0 atribuída pelo avaliador na Tarefa W02: Picture Album</t>
        </is>
      </c>
      <c r="N11" s="44" t="inlineStr">
        <is>
          <t>O avaliador atribuiu nota 0 para a Tarefa da W02: Álbum de Fotos. Acesse o Canvas e veja os comentários do avaliador. Trabalhe com o aluno para ajudar no reenvio.</t>
        </is>
      </c>
    </row>
    <row r="12">
      <c r="A12" s="1" t="inlineStr">
        <is>
          <t>WDD131</t>
        </is>
      </c>
      <c r="B12" s="1" t="inlineStr">
        <is>
          <t>High Performance</t>
        </is>
      </c>
      <c r="C12" s="45" t="inlineStr">
        <is>
          <t>S02 Tarefa: Álbum de Imagens</t>
        </is>
      </c>
      <c r="D12" s="23" t="n">
        <v>3</v>
      </c>
      <c r="E12" s="23" t="n">
        <v>5</v>
      </c>
      <c r="F12" s="23" t="n">
        <v>50</v>
      </c>
      <c r="G12" s="24" t="n">
        <v>0.9</v>
      </c>
      <c r="H12" s="24" t="inlineStr">
        <is>
          <t>y</t>
        </is>
      </c>
      <c r="I12" s="26">
        <f>DATE(YEAR(Setup!$C$4),MONTH(Setup!$C$4),DAY(Setup!$C$4)+((D12-1)*7)+(E12-WEEKDAY(DATE(YEAR(Setup!$C$4),MONTH(Setup!$C$4),DAY(Setup!$C$4)),1)))</f>
        <v/>
      </c>
      <c r="J12" s="26">
        <f>I12+3</f>
        <v/>
      </c>
      <c r="K12" s="26">
        <f>(I12 + (7 - WEEKDAY(I12,1))) + 1</f>
        <v/>
      </c>
      <c r="L12" s="23">
        <f>F12*G12</f>
        <v/>
      </c>
      <c r="M12" s="1" t="inlineStr">
        <is>
          <t>Alto Desempenho: Tarefa da W02: Álbum de Fotos</t>
        </is>
      </c>
      <c r="N12" s="1" t="inlineStr">
        <is>
          <t>Fornecer Feedback Positivo na Tarefa da W02: Álbum de Fotos</t>
        </is>
      </c>
    </row>
    <row r="13">
      <c r="A13" s="1" t="inlineStr">
        <is>
          <t>WDD131</t>
        </is>
      </c>
      <c r="B13" s="1" t="inlineStr">
        <is>
          <t>Low Performance</t>
        </is>
      </c>
      <c r="C13" s="45" t="inlineStr">
        <is>
          <t>S02 Tarefa: Álbum de Imagens</t>
        </is>
      </c>
      <c r="D13" s="23" t="n">
        <v>3</v>
      </c>
      <c r="E13" s="23" t="n">
        <v>5</v>
      </c>
      <c r="F13" s="23" t="n">
        <v>50</v>
      </c>
      <c r="G13" s="24" t="n">
        <v>0.7</v>
      </c>
      <c r="H13" s="24" t="inlineStr">
        <is>
          <t>y</t>
        </is>
      </c>
      <c r="I13" s="26">
        <f>DATE(YEAR(Setup!$C$4),MONTH(Setup!$C$4),DAY(Setup!$C$4)+((D13-1)*7)+(E13-WEEKDAY(DATE(YEAR(Setup!$C$4),MONTH(Setup!$C$4),DAY(Setup!$C$4)),1)))</f>
        <v/>
      </c>
      <c r="J13" s="26">
        <f>I13+3</f>
        <v/>
      </c>
      <c r="K13" s="26">
        <f>(I13 + (7 - WEEKDAY(I13,1))) + 1</f>
        <v/>
      </c>
      <c r="L13" s="23">
        <f>F13*G13</f>
        <v/>
      </c>
      <c r="M13" s="1" t="inlineStr">
        <is>
          <t>Baixo desempenho: Tarefa W02: Álbum de Fotos</t>
        </is>
      </c>
      <c r="N13" s="1" t="inlineStr">
        <is>
          <t>Em Risco. O(A) estudante obteve nota abaixo de 70% na Tarefa da W02: Álbum de Fotos. Entre em contato para ver como você pode ajudar.</t>
        </is>
      </c>
    </row>
    <row r="14">
      <c r="A14" s="1" t="inlineStr">
        <is>
          <t>WDD131</t>
        </is>
      </c>
      <c r="B14" s="1" t="inlineStr">
        <is>
          <t>Missing Assignment</t>
        </is>
      </c>
      <c r="C14" s="1" t="inlineStr">
        <is>
          <t>S03 Tarefa: Página do País</t>
        </is>
      </c>
      <c r="D14" s="23" t="n">
        <v>4</v>
      </c>
      <c r="E14" s="23" t="n">
        <v>2</v>
      </c>
      <c r="G14" s="24" t="n"/>
      <c r="H14" s="24" t="inlineStr">
        <is>
          <t>y</t>
        </is>
      </c>
      <c r="I14" s="26">
        <f>DATE(YEAR(Setup!$C$4),MONTH(Setup!$C$4),DAY(Setup!$C$4)+((D14-1)*7)+(E14-WEEKDAY(DATE(YEAR(Setup!$C$4),MONTH(Setup!$C$4),DAY(Setup!$C$4)),1)))</f>
        <v/>
      </c>
      <c r="J14" s="26">
        <f>I14+3</f>
        <v/>
      </c>
      <c r="K14" s="26">
        <f>(I14 + (7 - WEEKDAY(I14,1))) + 1</f>
        <v/>
      </c>
      <c r="L14" s="23">
        <f>F14*G14</f>
        <v/>
      </c>
      <c r="M14" s="1" t="inlineStr">
        <is>
          <t>Tarefa Pendente: Tarefa da W03: Country Page</t>
        </is>
      </c>
      <c r="N14" s="1" t="inlineStr">
        <is>
          <t>Entre em contato com o estudante que não entregou a Tarefa W03: Country Page</t>
        </is>
      </c>
    </row>
    <row r="15">
      <c r="A15" s="1" t="inlineStr">
        <is>
          <t>WDD131</t>
        </is>
      </c>
      <c r="B15" s="1" t="inlineStr">
        <is>
          <t>Quiz Question</t>
        </is>
      </c>
      <c r="C15" s="1" t="inlineStr">
        <is>
          <t>S03 Atualização de Status em 60 Segundos: NeedHelp Resposta: Sim</t>
        </is>
      </c>
      <c r="D15" s="23" t="n">
        <v>4</v>
      </c>
      <c r="E15" s="23" t="n">
        <v>2</v>
      </c>
      <c r="G15" s="24" t="n"/>
      <c r="H15" s="24" t="inlineStr">
        <is>
          <t>y</t>
        </is>
      </c>
      <c r="I15" s="26">
        <f>DATE(YEAR(Setup!$C$4),MONTH(Setup!$C$4),DAY(Setup!$C$4)+((D15-1)*7)+(E15-WEEKDAY(DATE(YEAR(Setup!$C$4),MONTH(Setup!$C$4),DAY(Setup!$C$4)),1)))</f>
        <v/>
      </c>
      <c r="J15" s="26">
        <f>I15+3</f>
        <v/>
      </c>
      <c r="K15" s="26">
        <f>(I15 + (7 - WEEKDAY(I15,1))) + 1</f>
        <v/>
      </c>
      <c r="L15" s="23">
        <f>F15*G15</f>
        <v/>
      </c>
      <c r="M15" s="1" t="inlineStr">
        <is>
          <t>Resposta à Atualização de Status de 60 segundos da W03. O aluno se sente sobrecarregado.</t>
        </is>
      </c>
      <c r="N15" s="1" t="inlineStr">
        <is>
          <t>O estudante respondeu estar se sentindo sobrecarregado na Atualização de Status de 60 segundos da W03. Entre em contato com o estudante para ver como você pode ajudar.</t>
        </is>
      </c>
    </row>
    <row r="16">
      <c r="A16" s="1" t="inlineStr">
        <is>
          <t>WDD131</t>
        </is>
      </c>
      <c r="B16" s="1" t="inlineStr">
        <is>
          <t>Grader-Issued 0</t>
        </is>
      </c>
      <c r="C16" s="1" t="inlineStr">
        <is>
          <t>S03 Tarefa: Página do País</t>
        </is>
      </c>
      <c r="D16" s="23" t="n">
        <v>4</v>
      </c>
      <c r="E16" s="23" t="n">
        <v>4</v>
      </c>
      <c r="F16" s="23" t="n">
        <v>50</v>
      </c>
      <c r="G16" s="24" t="n"/>
      <c r="H16" s="24" t="inlineStr">
        <is>
          <t>y</t>
        </is>
      </c>
      <c r="I16" s="26">
        <f>DATE(YEAR(Setup!$C$4),MONTH(Setup!$C$4),DAY(Setup!$C$4)+((D16-1)*7)+(E16-WEEKDAY(DATE(YEAR(Setup!$C$4),MONTH(Setup!$C$4),DAY(Setup!$C$4)),1)))</f>
        <v/>
      </c>
      <c r="J16" s="26">
        <f>I16+3</f>
        <v/>
      </c>
      <c r="K16" s="26">
        <f>(I16 + (7 - WEEKDAY(I16,1))) + 1</f>
        <v/>
      </c>
      <c r="L16" s="23">
        <f>F16*G16</f>
        <v/>
      </c>
      <c r="M16" s="1" t="inlineStr">
        <is>
          <t>O aluno recebeu uma nota 0 atribuída pelo avaliador na Tarefa da W03: Página do País</t>
        </is>
      </c>
      <c r="N16" s="44" t="inlineStr">
        <is>
          <t>O avaliador atribuiu nota 0 para a Tarefa da W03: Página do País. Acesse o Canvas e veja os comentários do avaliador. Trabalhe com o(a) estudante para ajudá-lo(a) a reenviar.</t>
        </is>
      </c>
    </row>
    <row r="17" customFormat="1" s="64">
      <c r="A17" s="1" t="inlineStr">
        <is>
          <t>WDD131</t>
        </is>
      </c>
      <c r="B17" s="1" t="inlineStr">
        <is>
          <t>Scheduled - Low Current Grade</t>
        </is>
      </c>
      <c r="C17" s="1" t="inlineStr">
        <is>
          <t>Lembrete de Prazo para Desistência</t>
        </is>
      </c>
      <c r="D17" s="23" t="n">
        <v>4</v>
      </c>
      <c r="E17" s="23" t="n">
        <v>4</v>
      </c>
      <c r="F17" s="23" t="n"/>
      <c r="G17" s="24" t="n">
        <v>0.5</v>
      </c>
      <c r="H17" s="24" t="inlineStr">
        <is>
          <t>y</t>
        </is>
      </c>
      <c r="I17" s="26">
        <f>DATE(YEAR(Setup!$C$4),MONTH(Setup!$C$4),DAY(Setup!$C$4)+((D17-1)*7)+(E17-WEEKDAY(DATE(YEAR(Setup!$C$4),MONTH(Setup!$C$4),DAY(Setup!$C$4)),1)))</f>
        <v/>
      </c>
      <c r="J17" s="26">
        <f>I17+3</f>
        <v/>
      </c>
      <c r="K17" s="26">
        <f>(I17 + (7 - WEEKDAY(I17,1))) + 1</f>
        <v/>
      </c>
      <c r="L17" s="23">
        <f>F17*G17</f>
        <v/>
      </c>
      <c r="M17" s="1" t="inlineStr">
        <is>
          <t>Aluno em situação de reprovação. Lembrete de cancelamento de matrícula</t>
        </is>
      </c>
      <c r="N17" s="1" t="inlineStr">
        <is>
          <t>Envie um e-mail para os alunos que estão reprovando no momento e que têm poucas chances de recuperação, lembrando-os do prazo de trancamento.</t>
        </is>
      </c>
    </row>
    <row r="18">
      <c r="A18" s="1" t="inlineStr">
        <is>
          <t>WDD131</t>
        </is>
      </c>
      <c r="B18" s="1" t="inlineStr">
        <is>
          <t>High Performance</t>
        </is>
      </c>
      <c r="C18" s="1" t="inlineStr">
        <is>
          <t>S03 Tarefa: Página do País</t>
        </is>
      </c>
      <c r="D18" s="23" t="n">
        <v>4</v>
      </c>
      <c r="E18" s="23" t="n">
        <v>5</v>
      </c>
      <c r="F18" s="23" t="n">
        <v>50</v>
      </c>
      <c r="G18" s="24" t="n">
        <v>0.9</v>
      </c>
      <c r="H18" s="24" t="inlineStr">
        <is>
          <t>y</t>
        </is>
      </c>
      <c r="I18" s="26">
        <f>DATE(YEAR(Setup!$C$4),MONTH(Setup!$C$4),DAY(Setup!$C$4)+((D18-1)*7)+(E18-WEEKDAY(DATE(YEAR(Setup!$C$4),MONTH(Setup!$C$4),DAY(Setup!$C$4)),1)))</f>
        <v/>
      </c>
      <c r="J18" s="26">
        <f>I18+3</f>
        <v/>
      </c>
      <c r="K18" s="26">
        <f>(I18 + (7 - WEEKDAY(I18,1))) + 1</f>
        <v/>
      </c>
      <c r="L18" s="23">
        <f>F18*G18</f>
        <v/>
      </c>
      <c r="M18" s="1" t="inlineStr">
        <is>
          <t>Alto desempenho: Tarefa W03: Página do País</t>
        </is>
      </c>
      <c r="N18" s="1" t="inlineStr">
        <is>
          <t>Fornecer Feedback Positivo na Tarefa da W03: Página do País</t>
        </is>
      </c>
    </row>
    <row r="19">
      <c r="A19" s="1" t="inlineStr">
        <is>
          <t>WDD131</t>
        </is>
      </c>
      <c r="B19" s="1" t="inlineStr">
        <is>
          <t>Low Performance</t>
        </is>
      </c>
      <c r="C19" s="1" t="inlineStr">
        <is>
          <t>S03 Tarefa: Página do País</t>
        </is>
      </c>
      <c r="D19" s="23" t="n">
        <v>4</v>
      </c>
      <c r="E19" s="23" t="n">
        <v>5</v>
      </c>
      <c r="F19" s="23" t="n">
        <v>50</v>
      </c>
      <c r="G19" s="24" t="n">
        <v>0.7</v>
      </c>
      <c r="H19" s="24" t="inlineStr">
        <is>
          <t>y</t>
        </is>
      </c>
      <c r="I19" s="26">
        <f>DATE(YEAR(Setup!$C$4),MONTH(Setup!$C$4),DAY(Setup!$C$4)+((D19-1)*7)+(E19-WEEKDAY(DATE(YEAR(Setup!$C$4),MONTH(Setup!$C$4),DAY(Setup!$C$4)),1)))</f>
        <v/>
      </c>
      <c r="J19" s="26">
        <f>I19+3</f>
        <v/>
      </c>
      <c r="K19" s="26">
        <f>(I19 + (7 - WEEKDAY(I19,1))) + 1</f>
        <v/>
      </c>
      <c r="L19" s="23">
        <f>F19*G19</f>
        <v/>
      </c>
      <c r="M19" s="1" t="inlineStr">
        <is>
          <t>Baixo Desempenho: Tarefa da W03: Página do País</t>
        </is>
      </c>
      <c r="N19" s="1" t="inlineStr">
        <is>
          <t>Em risco. O aluno obteve nota abaixo de 70% na Tarefa da W03: Página do País. Entre em contato para ver como você pode ajudar.</t>
        </is>
      </c>
    </row>
    <row r="20">
      <c r="A20" s="1" t="inlineStr">
        <is>
          <t>WDD131</t>
        </is>
      </c>
      <c r="B20" s="1" t="inlineStr">
        <is>
          <t>Missing Assignment</t>
        </is>
      </c>
      <c r="C20" s="1" t="inlineStr">
        <is>
          <t>S04 Tarefa: Aprimoramento do Álbum de Imagens</t>
        </is>
      </c>
      <c r="D20" s="23" t="n">
        <v>5</v>
      </c>
      <c r="E20" s="23" t="n">
        <v>2</v>
      </c>
      <c r="G20" s="24" t="n"/>
      <c r="H20" s="24" t="inlineStr">
        <is>
          <t>y</t>
        </is>
      </c>
      <c r="I20" s="26">
        <f>DATE(YEAR(Setup!$C$4),MONTH(Setup!$C$4),DAY(Setup!$C$4)+((D20-1)*7)+(E20-WEEKDAY(DATE(YEAR(Setup!$C$4),MONTH(Setup!$C$4),DAY(Setup!$C$4)),1)))</f>
        <v/>
      </c>
      <c r="J20" s="26">
        <f>I20+3</f>
        <v/>
      </c>
      <c r="K20" s="26">
        <f>(I20 + (7 - WEEKDAY(I20,1))) + 1</f>
        <v/>
      </c>
      <c r="L20" s="23">
        <f>F20*G20</f>
        <v/>
      </c>
      <c r="M20" s="1" t="inlineStr">
        <is>
          <t>Tarefa Pendente: W04 Tarefa: Melhoria do Álbum de Fotos</t>
        </is>
      </c>
      <c r="N20" s="1" t="inlineStr">
        <is>
          <t>Entre em contato com o estudante que não entregou a Tarefa W04: Picture Album Enhancement</t>
        </is>
      </c>
    </row>
    <row r="21">
      <c r="A21" s="1" t="inlineStr">
        <is>
          <t>WDD131</t>
        </is>
      </c>
      <c r="B21" s="1" t="inlineStr">
        <is>
          <t>Quiz Question</t>
        </is>
      </c>
      <c r="C21" s="1" t="inlineStr">
        <is>
          <t>S04 Atualização de Status em 60 Segundos: NeedHelp Resposta: Sim</t>
        </is>
      </c>
      <c r="D21" s="23" t="n">
        <v>5</v>
      </c>
      <c r="E21" s="23" t="n">
        <v>2</v>
      </c>
      <c r="G21" s="24" t="n"/>
      <c r="H21" s="24" t="inlineStr">
        <is>
          <t>y</t>
        </is>
      </c>
      <c r="I21" s="26">
        <f>DATE(YEAR(Setup!$C$4),MONTH(Setup!$C$4),DAY(Setup!$C$4)+((D21-1)*7)+(E21-WEEKDAY(DATE(YEAR(Setup!$C$4),MONTH(Setup!$C$4),DAY(Setup!$C$4)),1)))</f>
        <v/>
      </c>
      <c r="J21" s="26">
        <f>I21+3</f>
        <v/>
      </c>
      <c r="K21" s="26">
        <f>(I21 + (7 - WEEKDAY(I21,1))) + 1</f>
        <v/>
      </c>
      <c r="L21" s="23">
        <f>F21*G21</f>
        <v/>
      </c>
      <c r="M21" s="1" t="inlineStr">
        <is>
          <t>Resposta à Atualização de Status de 60 segundos da W04. O aluno se sente sobrecarregado.</t>
        </is>
      </c>
      <c r="N21" s="1" t="inlineStr">
        <is>
          <t>O estudante respondeu que está se sentindo sobrecarregado na Atualização de Status de 60 segundos da W04. Entre em contato com o estudante para ver como você pode ajudar.</t>
        </is>
      </c>
    </row>
    <row r="22">
      <c r="A22" s="1" t="inlineStr">
        <is>
          <t>WDD131</t>
        </is>
      </c>
      <c r="B22" s="1" t="inlineStr">
        <is>
          <t>Grader-Issued 0</t>
        </is>
      </c>
      <c r="C22" s="1" t="inlineStr">
        <is>
          <t>S04 Tarefa: Aprimoramento do Álbum de Imagens</t>
        </is>
      </c>
      <c r="D22" s="23" t="n">
        <v>5</v>
      </c>
      <c r="E22" s="23" t="n">
        <v>4</v>
      </c>
      <c r="F22" s="23" t="n">
        <v>50</v>
      </c>
      <c r="G22" s="24" t="n"/>
      <c r="H22" s="24" t="inlineStr">
        <is>
          <t>y</t>
        </is>
      </c>
      <c r="I22" s="26">
        <f>DATE(YEAR(Setup!$C$4),MONTH(Setup!$C$4),DAY(Setup!$C$4)+((D22-1)*7)+(E22-WEEKDAY(DATE(YEAR(Setup!$C$4),MONTH(Setup!$C$4),DAY(Setup!$C$4)),1)))</f>
        <v/>
      </c>
      <c r="J22" s="26">
        <f>I22+3</f>
        <v/>
      </c>
      <c r="K22" s="26">
        <f>(I22 + (7 - WEEKDAY(I22,1))) + 1</f>
        <v/>
      </c>
      <c r="L22" s="23">
        <f>F22*G22</f>
        <v/>
      </c>
      <c r="M22" s="1" t="inlineStr">
        <is>
          <t>O aluno recebeu uma nota 0 atribuída pelo avaliador na W04 Tarefa: Melhoria do Álbum de Fotos</t>
        </is>
      </c>
      <c r="N22" s="44" t="inlineStr">
        <is>
          <t>O avaliador atribuiu nota 0 para a Tarefa da W04: Melhoria do Álbum de Fotos. Acesse o Canvas e veja os comentários do avaliador. Trabalhe com o(a) estudante para ajudá-lo(a) a reenviar.</t>
        </is>
      </c>
    </row>
    <row r="23">
      <c r="A23" s="1" t="inlineStr">
        <is>
          <t>WDD131</t>
        </is>
      </c>
      <c r="B23" s="1" t="inlineStr">
        <is>
          <t>Scheduled - Classwide</t>
        </is>
      </c>
      <c r="C23" s="1" t="inlineStr">
        <is>
          <t>Lembrete de Matrícula 1</t>
        </is>
      </c>
      <c r="D23" s="23" t="n">
        <v>5</v>
      </c>
      <c r="E23" s="23" t="n">
        <v>4</v>
      </c>
      <c r="G23" s="24" t="n"/>
      <c r="H23" s="24" t="inlineStr">
        <is>
          <t>y</t>
        </is>
      </c>
      <c r="I23" s="26">
        <f>DATE(YEAR(Setup!$C$4),MONTH(Setup!$C$4),DAY(Setup!$C$4)+((D23-1)*7)+(E23-WEEKDAY(DATE(YEAR(Setup!$C$4),MONTH(Setup!$C$4),DAY(Setup!$C$4)),1)))</f>
        <v/>
      </c>
      <c r="J23" s="26">
        <f>I23+3</f>
        <v/>
      </c>
      <c r="K23" s="26">
        <f>(I23 + (7 - WEEKDAY(I23,1))) + 1</f>
        <v/>
      </c>
      <c r="L23" s="23">
        <f>F23*G23</f>
        <v/>
      </c>
      <c r="M23" s="1" t="inlineStr">
        <is>
          <t>Lembrete de Matrícula 1</t>
        </is>
      </c>
      <c r="N23" s="43" t="inlineStr">
        <is>
          <t>Envie uma mensagem para todos os alunos, lembrando-os de que as inscrições para o próximo bloco já estão abertas e incentivando-os a agir.</t>
        </is>
      </c>
    </row>
    <row r="24">
      <c r="A24" s="1" t="inlineStr">
        <is>
          <t>WDD131</t>
        </is>
      </c>
      <c r="B24" s="1" t="inlineStr">
        <is>
          <t>High Performance</t>
        </is>
      </c>
      <c r="C24" s="1" t="inlineStr">
        <is>
          <t>S04 Tarefa: Aprimoramento do Álbum de Imagens</t>
        </is>
      </c>
      <c r="D24" s="23" t="n">
        <v>5</v>
      </c>
      <c r="E24" s="23" t="n">
        <v>5</v>
      </c>
      <c r="F24" s="23" t="n">
        <v>50</v>
      </c>
      <c r="G24" s="24" t="n">
        <v>0.9</v>
      </c>
      <c r="H24" s="24" t="inlineStr">
        <is>
          <t>y</t>
        </is>
      </c>
      <c r="I24" s="26">
        <f>DATE(YEAR(Setup!$C$4),MONTH(Setup!$C$4),DAY(Setup!$C$4)+((D24-1)*7)+(E24-WEEKDAY(DATE(YEAR(Setup!$C$4),MONTH(Setup!$C$4),DAY(Setup!$C$4)),1)))</f>
        <v/>
      </c>
      <c r="J24" s="26">
        <f>I24+3</f>
        <v/>
      </c>
      <c r="K24" s="26">
        <f>(I24 + (7 - WEEKDAY(I24,1))) + 1</f>
        <v/>
      </c>
      <c r="L24" s="23">
        <f>F24*G24</f>
        <v/>
      </c>
      <c r="M24" s="1" t="inlineStr">
        <is>
          <t>Alto Desempenho: Tarefa da W04: Picture Album Enhancement</t>
        </is>
      </c>
      <c r="N24" s="1" t="inlineStr">
        <is>
          <t>Fornecer Feedback Positivo na Tarefa da W04: Melhoria do Álbum de Fotos</t>
        </is>
      </c>
    </row>
    <row r="25">
      <c r="A25" s="1" t="inlineStr">
        <is>
          <t>WDD131</t>
        </is>
      </c>
      <c r="B25" s="1" t="inlineStr">
        <is>
          <t>Low Performance</t>
        </is>
      </c>
      <c r="C25" s="1" t="inlineStr">
        <is>
          <t>S04 Tarefa: Aprimoramento do Álbum de Imagens</t>
        </is>
      </c>
      <c r="D25" s="23" t="n">
        <v>5</v>
      </c>
      <c r="E25" s="23" t="n">
        <v>5</v>
      </c>
      <c r="F25" s="23" t="n">
        <v>50</v>
      </c>
      <c r="G25" s="24" t="n">
        <v>0.7</v>
      </c>
      <c r="H25" s="24" t="inlineStr">
        <is>
          <t>y</t>
        </is>
      </c>
      <c r="I25" s="26">
        <f>DATE(YEAR(Setup!$C$4),MONTH(Setup!$C$4),DAY(Setup!$C$4)+((D25-1)*7)+(E25-WEEKDAY(DATE(YEAR(Setup!$C$4),MONTH(Setup!$C$4),DAY(Setup!$C$4)),1)))</f>
        <v/>
      </c>
      <c r="J25" s="26">
        <f>I25+3</f>
        <v/>
      </c>
      <c r="K25" s="26">
        <f>(I25 + (7 - WEEKDAY(I25,1))) + 1</f>
        <v/>
      </c>
      <c r="L25" s="23">
        <f>F25*G25</f>
        <v/>
      </c>
      <c r="M25" s="1" t="inlineStr">
        <is>
          <t>Baixo desempenho: Tarefa W04: Aprimoramento do Álbum de Fotos</t>
        </is>
      </c>
      <c r="N25" s="1" t="inlineStr">
        <is>
          <t>Em risco. O estudante obteve nota abaixo de 70% na Tarefa W04: Picture Album Enhancement. Entre em contato para ver como você pode ajudar.</t>
        </is>
      </c>
    </row>
    <row r="26">
      <c r="A26" s="1" t="inlineStr">
        <is>
          <t>WDD131</t>
        </is>
      </c>
      <c r="B26" s="1" t="inlineStr">
        <is>
          <t>Missing Assignment</t>
        </is>
      </c>
      <c r="C26" s="1" t="inlineStr">
        <is>
          <t>S05 Tarefa: Formulário de Avaliação de Produto</t>
        </is>
      </c>
      <c r="D26" s="23" t="n">
        <v>6</v>
      </c>
      <c r="E26" s="23" t="n">
        <v>2</v>
      </c>
      <c r="G26" s="24" t="n"/>
      <c r="H26" s="24" t="inlineStr">
        <is>
          <t>y</t>
        </is>
      </c>
      <c r="I26" s="26">
        <f>DATE(YEAR(Setup!$C$4),MONTH(Setup!$C$4),DAY(Setup!$C$4)+((D26-1)*7)+(E26-WEEKDAY(DATE(YEAR(Setup!$C$4),MONTH(Setup!$C$4),DAY(Setup!$C$4)),1)))</f>
        <v/>
      </c>
      <c r="J26" s="26">
        <f>I26+3</f>
        <v/>
      </c>
      <c r="K26" s="26">
        <f>(I26 + (7 - WEEKDAY(I26,1))) + 1</f>
        <v/>
      </c>
      <c r="L26" s="23">
        <f>F26*G26</f>
        <v/>
      </c>
      <c r="M26" s="1" t="inlineStr">
        <is>
          <t>Tarefa Pendente: W05 Tarefa: Formulário de Avaliação do Produto</t>
        </is>
      </c>
      <c r="N26" s="1" t="inlineStr">
        <is>
          <t>Entre em contato com o estudante que não entregou a Tarefa W05: Product Review Form</t>
        </is>
      </c>
    </row>
    <row r="27">
      <c r="A27" s="1" t="inlineStr">
        <is>
          <t>WDD131</t>
        </is>
      </c>
      <c r="B27" s="1" t="inlineStr">
        <is>
          <t>Quiz Question</t>
        </is>
      </c>
      <c r="C27" s="1" t="inlineStr">
        <is>
          <t>S05 Atualização de Status em 60 Segundos: NeedHelp Resposta: Sim</t>
        </is>
      </c>
      <c r="D27" s="23" t="n">
        <v>6</v>
      </c>
      <c r="E27" s="23" t="n">
        <v>2</v>
      </c>
      <c r="G27" s="24" t="n"/>
      <c r="H27" s="24" t="inlineStr">
        <is>
          <t>y</t>
        </is>
      </c>
      <c r="I27" s="26">
        <f>DATE(YEAR(Setup!$C$4),MONTH(Setup!$C$4),DAY(Setup!$C$4)+((D27-1)*7)+(E27-WEEKDAY(DATE(YEAR(Setup!$C$4),MONTH(Setup!$C$4),DAY(Setup!$C$4)),1)))</f>
        <v/>
      </c>
      <c r="J27" s="26">
        <f>I27+3</f>
        <v/>
      </c>
      <c r="K27" s="26">
        <f>(I27 + (7 - WEEKDAY(I27,1))) + 1</f>
        <v/>
      </c>
      <c r="L27" s="23">
        <f>F27*G27</f>
        <v/>
      </c>
      <c r="M27" s="1" t="inlineStr">
        <is>
          <t>Resposta à Atualização de Status de 60 segundos da W05. O aluno se sente sobrecarregado.</t>
        </is>
      </c>
      <c r="N27" s="1" t="inlineStr">
        <is>
          <t>O aluno respondeu que está se sentindo sobrecarregado na Atualização de Status de 60 segundos da W05. Entre em contato com o aluno para ver como pode ajudar.</t>
        </is>
      </c>
    </row>
    <row r="28">
      <c r="A28" s="1" t="inlineStr">
        <is>
          <t>WDD131</t>
        </is>
      </c>
      <c r="B28" s="1" t="inlineStr">
        <is>
          <t>Grader-Issued 0</t>
        </is>
      </c>
      <c r="C28" s="1" t="inlineStr">
        <is>
          <t>S05 Tarefa: Formulário de Avaliação de Produto</t>
        </is>
      </c>
      <c r="D28" s="23" t="n">
        <v>6</v>
      </c>
      <c r="E28" s="23" t="n">
        <v>4</v>
      </c>
      <c r="F28" s="23" t="n">
        <v>50</v>
      </c>
      <c r="G28" s="24" t="n"/>
      <c r="H28" s="24" t="inlineStr">
        <is>
          <t>y</t>
        </is>
      </c>
      <c r="I28" s="26">
        <f>DATE(YEAR(Setup!$C$4),MONTH(Setup!$C$4),DAY(Setup!$C$4)+((D28-1)*7)+(E28-WEEKDAY(DATE(YEAR(Setup!$C$4),MONTH(Setup!$C$4),DAY(Setup!$C$4)),1)))</f>
        <v/>
      </c>
      <c r="J28" s="26">
        <f>I28+3</f>
        <v/>
      </c>
      <c r="K28" s="26">
        <f>(I28 + (7 - WEEKDAY(I28,1))) + 1</f>
        <v/>
      </c>
      <c r="L28" s="23">
        <f>F28*G28</f>
        <v/>
      </c>
      <c r="M28" s="1" t="inlineStr">
        <is>
          <t>O aluno recebeu uma nota 0 atribuída pelo avaliador na Tarefa da W05: Formulário de Avaliação do Produto</t>
        </is>
      </c>
      <c r="N28" s="44" t="inlineStr">
        <is>
          <t>Nota 0 atribuída pelo avaliador na W05 Tarefa: Formulário de Avaliação do Produto. Acesse o Canvas e veja os comentários do avaliador. Trabalhe com o aluno para ajudá-lo a enviar novamente.</t>
        </is>
      </c>
    </row>
    <row r="29">
      <c r="A29" s="1" t="inlineStr">
        <is>
          <t>WDD131</t>
        </is>
      </c>
      <c r="B29" s="1" t="inlineStr">
        <is>
          <t>High Performance</t>
        </is>
      </c>
      <c r="C29" s="1" t="inlineStr">
        <is>
          <t>S05 Tarefa: Formulário de Avaliação de Produto</t>
        </is>
      </c>
      <c r="D29" s="23" t="n">
        <v>6</v>
      </c>
      <c r="E29" s="23" t="n">
        <v>5</v>
      </c>
      <c r="F29" s="23" t="n">
        <v>50</v>
      </c>
      <c r="G29" s="24" t="n">
        <v>0.9</v>
      </c>
      <c r="H29" s="24" t="inlineStr">
        <is>
          <t>y</t>
        </is>
      </c>
      <c r="I29" s="26">
        <f>DATE(YEAR(Setup!$C$4),MONTH(Setup!$C$4),DAY(Setup!$C$4)+((D29-1)*7)+(E29-WEEKDAY(DATE(YEAR(Setup!$C$4),MONTH(Setup!$C$4),DAY(Setup!$C$4)),1)))</f>
        <v/>
      </c>
      <c r="J29" s="26">
        <f>I29+3</f>
        <v/>
      </c>
      <c r="K29" s="26">
        <f>(I29 + (7 - WEEKDAY(I29,1))) + 1</f>
        <v/>
      </c>
      <c r="L29" s="23">
        <f>F29*G29</f>
        <v/>
      </c>
      <c r="M29" s="1" t="inlineStr">
        <is>
          <t>Alto desempenho: Tarefa W05: Formulário de avaliação de produto</t>
        </is>
      </c>
      <c r="N29" s="1" t="inlineStr">
        <is>
          <t>Fornecer Feedback Positivo na W05 Tarefa: Formulário de Avaliação do Produto</t>
        </is>
      </c>
    </row>
    <row r="30">
      <c r="A30" s="1" t="inlineStr">
        <is>
          <t>WDD131</t>
        </is>
      </c>
      <c r="B30" s="1" t="inlineStr">
        <is>
          <t>Low Performance</t>
        </is>
      </c>
      <c r="C30" s="1" t="inlineStr">
        <is>
          <t>S05 Tarefa: Formulário de Avaliação de Produto</t>
        </is>
      </c>
      <c r="D30" s="23" t="n">
        <v>6</v>
      </c>
      <c r="E30" s="23" t="n">
        <v>5</v>
      </c>
      <c r="F30" s="23" t="n">
        <v>50</v>
      </c>
      <c r="G30" s="24" t="n">
        <v>0.7</v>
      </c>
      <c r="H30" s="24" t="inlineStr">
        <is>
          <t>y</t>
        </is>
      </c>
      <c r="I30" s="26">
        <f>DATE(YEAR(Setup!$C$4),MONTH(Setup!$C$4),DAY(Setup!$C$4)+((D30-1)*7)+(E30-WEEKDAY(DATE(YEAR(Setup!$C$4),MONTH(Setup!$C$4),DAY(Setup!$C$4)),1)))</f>
        <v/>
      </c>
      <c r="J30" s="26">
        <f>I30+3</f>
        <v/>
      </c>
      <c r="K30" s="26">
        <f>(I30 + (7 - WEEKDAY(I30,1))) + 1</f>
        <v/>
      </c>
      <c r="L30" s="23">
        <f>F30*G30</f>
        <v/>
      </c>
      <c r="M30" s="1" t="inlineStr">
        <is>
          <t>Baixo Desempenho: Tarefa da W05: Formulário de Avaliação do Produto</t>
        </is>
      </c>
      <c r="N30" s="1" t="inlineStr">
        <is>
          <t>Em risco. O estudante obteve nota abaixo de 70% na Tarefa W05: Product Review Form. Entre em contato para ver como você pode ajudar.</t>
        </is>
      </c>
    </row>
    <row r="31">
      <c r="A31" s="1" t="inlineStr">
        <is>
          <t>WDD131</t>
        </is>
      </c>
      <c r="B31" s="1" t="inlineStr">
        <is>
          <t>Scheduled - Classwide</t>
        </is>
      </c>
      <c r="C31" s="1" t="inlineStr">
        <is>
          <t>Lembrete de Matrícula 2</t>
        </is>
      </c>
      <c r="D31" s="23" t="n">
        <v>7</v>
      </c>
      <c r="E31" s="23" t="n">
        <v>1</v>
      </c>
      <c r="G31" s="24" t="n"/>
      <c r="H31" s="24" t="inlineStr">
        <is>
          <t>y</t>
        </is>
      </c>
      <c r="I31" s="26">
        <f>DATE(YEAR(Setup!$C$4),MONTH(Setup!$C$4),DAY(Setup!$C$4)+((D31-1)*7)+(E31-WEEKDAY(DATE(YEAR(Setup!$C$4),MONTH(Setup!$C$4),DAY(Setup!$C$4)),1)))</f>
        <v/>
      </c>
      <c r="J31" s="26">
        <f>I31+3</f>
        <v/>
      </c>
      <c r="K31" s="26">
        <f>(I31 + (7 - WEEKDAY(I31,1))) + 1</f>
        <v/>
      </c>
      <c r="L31" s="23">
        <f>F31*G31</f>
        <v/>
      </c>
      <c r="M31" s="1" t="inlineStr">
        <is>
          <t>Lembrete de Matrícula 2</t>
        </is>
      </c>
      <c r="N31" s="43" t="inlineStr">
        <is>
          <t>Envie uma mensagem a todos os alunos, lembrando-os de que as inscrições para o próximo bloco ainda estão abertas, mas serão encerradas em breve. Incentive-os a acessar o sistema e se inscrever o quanto antes.</t>
        </is>
      </c>
    </row>
    <row r="32">
      <c r="A32" s="1" t="inlineStr">
        <is>
          <t>WDD131</t>
        </is>
      </c>
      <c r="B32" s="1" t="inlineStr">
        <is>
          <t>Scheduled - Classwide</t>
        </is>
      </c>
      <c r="C32" s="1" t="inlineStr">
        <is>
          <t>Lembrete de Fim de Bloco</t>
        </is>
      </c>
      <c r="D32" s="23" t="n">
        <v>7</v>
      </c>
      <c r="E32" s="23" t="n">
        <v>2</v>
      </c>
      <c r="G32" s="24" t="n"/>
      <c r="H32" s="24" t="inlineStr">
        <is>
          <t>y</t>
        </is>
      </c>
      <c r="I32" s="26">
        <f>DATE(YEAR(Setup!$C$4),MONTH(Setup!$C$4),DAY(Setup!$C$4)+((D32-1)*7)+(E32-WEEKDAY(DATE(YEAR(Setup!$C$4),MONTH(Setup!$C$4),DAY(Setup!$C$4)),1)))</f>
        <v/>
      </c>
      <c r="J32" s="26">
        <f>I32+3</f>
        <v/>
      </c>
      <c r="K32" s="26">
        <f>(I32 + (7 - WEEKDAY(I32,1))) + 1</f>
        <v/>
      </c>
      <c r="L32" s="23">
        <f>F32*G32</f>
        <v/>
      </c>
      <c r="M32" s="1" t="inlineStr">
        <is>
          <t>Lembrete de Fim de Bloco</t>
        </is>
      </c>
      <c r="N32" s="44" t="inlineStr">
        <is>
          <t>Lembre os alunos de que o curso será encerrado, para enviarem as tarefas dentro do prazo e preencherem a Avaliação de Fim de Curso</t>
        </is>
      </c>
    </row>
  </sheetData>
  <sheetProtection selectLockedCells="1" selectUnlockedCells="0" algorithmName="SHA-512" sheet="1" objects="0" insertRows="0" insertHyperlinks="1" autoFilter="0" scenarios="0" formatColumns="1" deleteColumns="1" insertColumns="1" pivotTables="1" deleteRows="0" formatCells="0" saltValue="UmwqmRUqNWcNfGyaT6PGfA==" formatRows="0" sort="0" spinCount="100000" hashValue="de6QJZy6UlOWMAfixqabxsdDWANSaeRJjF2NFanyqqN1dU+N2m98dEB/LaFdbGnGZ/jwHYpl2TIMk2Jv8zbI4Q=="/>
  <autoFilter ref="A1:N32"/>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19.xml><?xml version="1.0" encoding="utf-8"?>
<worksheet xmlns="http://schemas.openxmlformats.org/spreadsheetml/2006/main">
  <sheetPr codeName="Sheet17">
    <tabColor rgb="FF00B050"/>
    <outlinePr summaryBelow="1" summaryRight="1"/>
    <pageSetUpPr/>
  </sheetPr>
  <dimension ref="A1:N20"/>
  <sheetViews>
    <sheetView workbookViewId="0">
      <selection activeCell="A2" sqref="A2"/>
    </sheetView>
  </sheetViews>
  <sheetFormatPr baseColWidth="8" defaultColWidth="8.85546875" defaultRowHeight="15"/>
  <cols>
    <col width="13" customWidth="1" style="1" min="1" max="1"/>
    <col width="24.28515625" customWidth="1" style="1" min="2" max="2"/>
    <col width="31.85546875" customWidth="1" style="1" min="3" max="3"/>
    <col width="14.42578125" customWidth="1" style="1" min="4" max="4"/>
    <col width="14" customWidth="1" style="1" min="5" max="6"/>
    <col width="14.140625" customWidth="1" style="1" min="7" max="7"/>
    <col hidden="1" width="14.140625" customWidth="1" style="1"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48" t="inlineStr">
        <is>
          <t>WDD231</t>
        </is>
      </c>
      <c r="B2" s="60" t="inlineStr">
        <is>
          <t>Scheduled - Classwide</t>
        </is>
      </c>
      <c r="C2" s="62" t="inlineStr">
        <is>
          <t>E-mail de Boas-vindas</t>
        </is>
      </c>
      <c r="D2" s="49" t="n">
        <v>0</v>
      </c>
      <c r="E2" s="49" t="n">
        <v>6</v>
      </c>
      <c r="F2" s="49" t="n"/>
      <c r="G2" s="49" t="n"/>
      <c r="H2" s="50" t="inlineStr">
        <is>
          <t>y</t>
        </is>
      </c>
      <c r="I2" s="51">
        <f>DATE(YEAR(Setup!$C$4),MONTH(Setup!$C$4),DAY(Setup!$C$4)+((D2-1)*7)+(E2-WEEKDAY(DATE(YEAR(Setup!$C$4),MONTH(Setup!$C$4),DAY(Setup!$C$4)),1)))</f>
        <v/>
      </c>
      <c r="J2" s="51">
        <f>I2+3</f>
        <v/>
      </c>
      <c r="K2" s="51">
        <f>(I2 + (7 - WEEKDAY(I2,1))) + 1</f>
        <v/>
      </c>
      <c r="L2" s="52">
        <f>F2*G2</f>
        <v/>
      </c>
      <c r="M2" s="53" t="inlineStr">
        <is>
          <t>E-mail de Boas-vindas</t>
        </is>
      </c>
      <c r="N2" s="53" t="inlineStr">
        <is>
          <t>Envie o e-mail de "Boas-vindas" mostrado na Página de Outreach do WDD231.</t>
        </is>
      </c>
    </row>
    <row r="3">
      <c r="A3" s="48" t="inlineStr">
        <is>
          <t>WDD231</t>
        </is>
      </c>
      <c r="B3" s="60" t="inlineStr">
        <is>
          <t>Missing Assignment</t>
        </is>
      </c>
      <c r="C3" s="61" t="inlineStr">
        <is>
          <t>S01 Configuração: Ferramentas</t>
        </is>
      </c>
      <c r="D3" s="54" t="n">
        <v>1</v>
      </c>
      <c r="E3" s="54" t="n">
        <v>5</v>
      </c>
      <c r="F3" s="54" t="n"/>
      <c r="G3" s="54" t="n"/>
      <c r="H3" s="50" t="inlineStr">
        <is>
          <t>y</t>
        </is>
      </c>
      <c r="I3" s="51">
        <f>DATE(YEAR(Setup!$C$4),MONTH(Setup!$C$4),DAY(Setup!$C$4)+((D3-1)*7)+(E3-WEEKDAY(DATE(YEAR(Setup!$C$4),MONTH(Setup!$C$4),DAY(Setup!$C$4)),1)))</f>
        <v/>
      </c>
      <c r="J3" s="51">
        <f>I3+3</f>
        <v/>
      </c>
      <c r="K3" s="51">
        <f>(I3 + (7 - WEEKDAY(I3,1))) + 1</f>
        <v/>
      </c>
      <c r="L3" s="52">
        <f>F3*G3</f>
        <v/>
      </c>
      <c r="M3" s="55" t="inlineStr">
        <is>
          <t>Não participação</t>
        </is>
      </c>
      <c r="N3" s="55" t="inlineStr">
        <is>
          <t>Envie uma mensagem para os alunos que não concluíram a Configuração W01: Ferramentas</t>
        </is>
      </c>
    </row>
    <row r="4">
      <c r="A4" s="48" t="inlineStr">
        <is>
          <t>WDD231</t>
        </is>
      </c>
      <c r="B4" s="60" t="inlineStr">
        <is>
          <t>Missing Assignment</t>
        </is>
      </c>
      <c r="C4" s="63" t="inlineStr">
        <is>
          <t>S01 Tarefa: Página Inicial do Curso</t>
        </is>
      </c>
      <c r="D4" s="56" t="n">
        <v>2</v>
      </c>
      <c r="E4" s="56" t="n">
        <v>3</v>
      </c>
      <c r="F4" s="56" t="n"/>
      <c r="G4" s="56" t="n"/>
      <c r="H4" s="50" t="inlineStr">
        <is>
          <t>y</t>
        </is>
      </c>
      <c r="I4" s="51">
        <f>DATE(YEAR(Setup!$C$4),MONTH(Setup!$C$4),DAY(Setup!$C$4)+((D4-1)*7)+(E4-WEEKDAY(DATE(YEAR(Setup!$C$4),MONTH(Setup!$C$4),DAY(Setup!$C$4)),1)))</f>
        <v/>
      </c>
      <c r="J4" s="51">
        <f>I4+3</f>
        <v/>
      </c>
      <c r="K4" s="51">
        <f>(I4 + (7 - WEEKDAY(I4,1))) + 1</f>
        <v/>
      </c>
      <c r="L4" s="52">
        <f>F4*G4</f>
        <v/>
      </c>
      <c r="M4" s="57" t="inlineStr">
        <is>
          <t>Não Enviado: Tarefa da W01: Página Inicial do Curso</t>
        </is>
      </c>
      <c r="N4" s="57" t="inlineStr">
        <is>
          <t>Envie uma mensagem para os estudantes que não enviaram a tarefa da semana passada</t>
        </is>
      </c>
    </row>
    <row r="5">
      <c r="A5" s="48" t="inlineStr">
        <is>
          <t>WDD231</t>
        </is>
      </c>
      <c r="B5" s="60" t="inlineStr">
        <is>
          <t>High Performance</t>
        </is>
      </c>
      <c r="C5" s="63" t="inlineStr">
        <is>
          <t>S01 Tarefa: Página Inicial do Curso</t>
        </is>
      </c>
      <c r="D5" s="56" t="n">
        <v>2</v>
      </c>
      <c r="E5" s="56" t="n">
        <v>5</v>
      </c>
      <c r="F5" s="56" t="n">
        <v>30</v>
      </c>
      <c r="G5" s="58" t="n">
        <v>0.8</v>
      </c>
      <c r="H5" s="50" t="inlineStr">
        <is>
          <t>y</t>
        </is>
      </c>
      <c r="I5" s="51">
        <f>DATE(YEAR(Setup!$C$4),MONTH(Setup!$C$4),DAY(Setup!$C$4)+((D5-1)*7)+(E5-WEEKDAY(DATE(YEAR(Setup!$C$4),MONTH(Setup!$C$4),DAY(Setup!$C$4)),1)))</f>
        <v/>
      </c>
      <c r="J5" s="51">
        <f>I5+3</f>
        <v/>
      </c>
      <c r="K5" s="51">
        <f>(I5 + (7 - WEEKDAY(I5,1))) + 1</f>
        <v/>
      </c>
      <c r="L5" s="52">
        <f>F5*G5</f>
        <v/>
      </c>
      <c r="M5" s="57" t="inlineStr">
        <is>
          <t>Pontuação superior a: Tarefa W01: Course Home Page</t>
        </is>
      </c>
      <c r="N5" s="57" t="inlineStr">
        <is>
          <t>Feedback Positivo: Tarefa W01</t>
        </is>
      </c>
    </row>
    <row r="6">
      <c r="A6" s="48" t="inlineStr">
        <is>
          <t>WDD231</t>
        </is>
      </c>
      <c r="B6" s="60" t="inlineStr">
        <is>
          <t>Low Performance</t>
        </is>
      </c>
      <c r="C6" s="63" t="inlineStr">
        <is>
          <t>S01 Tarefa: Página Inicial do Curso</t>
        </is>
      </c>
      <c r="D6" s="56" t="n">
        <v>2</v>
      </c>
      <c r="E6" s="56" t="n">
        <v>5</v>
      </c>
      <c r="F6" s="56" t="n">
        <v>30</v>
      </c>
      <c r="G6" s="58" t="n">
        <v>0.5</v>
      </c>
      <c r="H6" s="50" t="inlineStr">
        <is>
          <t>y</t>
        </is>
      </c>
      <c r="I6" s="51">
        <f>DATE(YEAR(Setup!$C$4),MONTH(Setup!$C$4),DAY(Setup!$C$4)+((D6-1)*7)+(E6-WEEKDAY(DATE(YEAR(Setup!$C$4),MONTH(Setup!$C$4),DAY(Setup!$C$4)),1)))</f>
        <v/>
      </c>
      <c r="J6" s="51">
        <f>I6+3</f>
        <v/>
      </c>
      <c r="K6" s="51">
        <f>(I6 + (7 - WEEKDAY(I6,1))) + 1</f>
        <v/>
      </c>
      <c r="L6" s="52">
        <f>F6*G6</f>
        <v/>
      </c>
      <c r="M6" s="57" t="inlineStr">
        <is>
          <t>Pontuação Menor Que: Tarefa da W01: Página Inicial do Curso</t>
        </is>
      </c>
      <c r="N6" s="57" t="inlineStr">
        <is>
          <t>Feedback de Preocupação: Tarefa da W01</t>
        </is>
      </c>
    </row>
    <row r="7">
      <c r="A7" s="48" t="inlineStr">
        <is>
          <t>WDD231</t>
        </is>
      </c>
      <c r="B7" s="60" t="inlineStr">
        <is>
          <t>Missing Assignment</t>
        </is>
      </c>
      <c r="C7" s="61" t="inlineStr">
        <is>
          <t>S02 Tarefa: Página do Diretório da Câmara</t>
        </is>
      </c>
      <c r="D7" s="54" t="n">
        <v>3</v>
      </c>
      <c r="E7" s="54" t="n">
        <v>3</v>
      </c>
      <c r="F7" s="54" t="n"/>
      <c r="G7" s="54" t="n"/>
      <c r="H7" s="50" t="inlineStr">
        <is>
          <t>y</t>
        </is>
      </c>
      <c r="I7" s="51">
        <f>DATE(YEAR(Setup!$C$4),MONTH(Setup!$C$4),DAY(Setup!$C$4)+((D7-1)*7)+(E7-WEEKDAY(DATE(YEAR(Setup!$C$4),MONTH(Setup!$C$4),DAY(Setup!$C$4)),1)))</f>
        <v/>
      </c>
      <c r="J7" s="51">
        <f>I7+3</f>
        <v/>
      </c>
      <c r="K7" s="51">
        <f>(I7 + (7 - WEEKDAY(I7,1))) + 1</f>
        <v/>
      </c>
      <c r="L7" s="52">
        <f>F7*G7</f>
        <v/>
      </c>
      <c r="M7" s="55" t="inlineStr">
        <is>
          <t>Não enviado: Tarefa da W02 - Página do Diretório da Câmara</t>
        </is>
      </c>
      <c r="N7" s="55" t="inlineStr">
        <is>
          <t>Envie uma mensagem para os estudantes que não enviaram a tarefa da semana passada</t>
        </is>
      </c>
    </row>
    <row r="8">
      <c r="A8" s="48" t="inlineStr">
        <is>
          <t>WDD231</t>
        </is>
      </c>
      <c r="B8" s="60" t="inlineStr">
        <is>
          <t>High Performance</t>
        </is>
      </c>
      <c r="C8" s="61" t="inlineStr">
        <is>
          <t>S02 Tarefa: Página do Diretório da Câmara</t>
        </is>
      </c>
      <c r="D8" s="54" t="n">
        <v>3</v>
      </c>
      <c r="E8" s="54" t="n">
        <v>5</v>
      </c>
      <c r="F8" s="54" t="n">
        <v>30</v>
      </c>
      <c r="G8" s="59" t="n">
        <v>0.8</v>
      </c>
      <c r="H8" s="50" t="inlineStr">
        <is>
          <t>y</t>
        </is>
      </c>
      <c r="I8" s="51">
        <f>DATE(YEAR(Setup!$C$4),MONTH(Setup!$C$4),DAY(Setup!$C$4)+((D8-1)*7)+(E8-WEEKDAY(DATE(YEAR(Setup!$C$4),MONTH(Setup!$C$4),DAY(Setup!$C$4)),1)))</f>
        <v/>
      </c>
      <c r="J8" s="51">
        <f>I8+3</f>
        <v/>
      </c>
      <c r="K8" s="51">
        <f>(I8 + (7 - WEEKDAY(I8,1))) + 1</f>
        <v/>
      </c>
      <c r="L8" s="52">
        <f>F8*G8</f>
        <v/>
      </c>
      <c r="M8" s="55" t="inlineStr">
        <is>
          <t>Pontuou mais de: Tarefa da W02: Página de Diretório da Câmara</t>
        </is>
      </c>
      <c r="N8" s="55" t="inlineStr">
        <is>
          <t>Feedback Positivo: Tarefa da W02</t>
        </is>
      </c>
    </row>
    <row r="9">
      <c r="A9" s="48" t="inlineStr">
        <is>
          <t>WDD231</t>
        </is>
      </c>
      <c r="B9" s="60" t="inlineStr">
        <is>
          <t>Low Performance</t>
        </is>
      </c>
      <c r="C9" s="61" t="inlineStr">
        <is>
          <t>S02 Tarefa: Página do Diretório da Câmara</t>
        </is>
      </c>
      <c r="D9" s="54" t="n">
        <v>3</v>
      </c>
      <c r="E9" s="54" t="n">
        <v>5</v>
      </c>
      <c r="F9" s="54" t="n">
        <v>30</v>
      </c>
      <c r="G9" s="59" t="n">
        <v>0.5</v>
      </c>
      <c r="H9" s="50" t="inlineStr">
        <is>
          <t>y</t>
        </is>
      </c>
      <c r="I9" s="51">
        <f>DATE(YEAR(Setup!$C$4),MONTH(Setup!$C$4),DAY(Setup!$C$4)+((D9-1)*7)+(E9-WEEKDAY(DATE(YEAR(Setup!$C$4),MONTH(Setup!$C$4),DAY(Setup!$C$4)),1)))</f>
        <v/>
      </c>
      <c r="J9" s="51">
        <f>I9+3</f>
        <v/>
      </c>
      <c r="K9" s="51">
        <f>(I9 + (7 - WEEKDAY(I9,1))) + 1</f>
        <v/>
      </c>
      <c r="L9" s="52">
        <f>F9*G9</f>
        <v/>
      </c>
      <c r="M9" s="55" t="inlineStr">
        <is>
          <t>Pontuou menos de: Tarefa da W02: Página de Diretório da Câmara</t>
        </is>
      </c>
      <c r="N9" s="55" t="inlineStr">
        <is>
          <t>Feedback de Preocupação: Tarefa da W02</t>
        </is>
      </c>
    </row>
    <row r="10">
      <c r="A10" s="48" t="inlineStr">
        <is>
          <t>WDD231</t>
        </is>
      </c>
      <c r="B10" s="60" t="inlineStr">
        <is>
          <t>Missing Assignment</t>
        </is>
      </c>
      <c r="C10" s="63" t="inlineStr">
        <is>
          <t>S03 Tarefa: Página Inicial da Câmara</t>
        </is>
      </c>
      <c r="D10" s="56" t="n">
        <v>4</v>
      </c>
      <c r="E10" s="56" t="n">
        <v>3</v>
      </c>
      <c r="F10" s="56" t="n"/>
      <c r="G10" s="56" t="n"/>
      <c r="H10" s="50" t="inlineStr">
        <is>
          <t>y</t>
        </is>
      </c>
      <c r="I10" s="51">
        <f>DATE(YEAR(Setup!$C$4),MONTH(Setup!$C$4),DAY(Setup!$C$4)+((D10-1)*7)+(E10-WEEKDAY(DATE(YEAR(Setup!$C$4),MONTH(Setup!$C$4),DAY(Setup!$C$4)),1)))</f>
        <v/>
      </c>
      <c r="J10" s="51">
        <f>I10+3</f>
        <v/>
      </c>
      <c r="K10" s="51">
        <f>(I10 + (7 - WEEKDAY(I10,1))) + 1</f>
        <v/>
      </c>
      <c r="L10" s="52">
        <f>F10*G10</f>
        <v/>
      </c>
      <c r="M10" s="57" t="inlineStr">
        <is>
          <t>Não Enviado: Tarefa da W03: Chamber Home Page</t>
        </is>
      </c>
      <c r="N10" s="57" t="inlineStr">
        <is>
          <t>Envie uma mensagem para os estudantes que não enviaram a tarefa da semana passada</t>
        </is>
      </c>
    </row>
    <row r="11">
      <c r="A11" s="48" t="inlineStr">
        <is>
          <t>WDD231</t>
        </is>
      </c>
      <c r="B11" s="60" t="inlineStr">
        <is>
          <t>High Performance</t>
        </is>
      </c>
      <c r="C11" s="63" t="inlineStr">
        <is>
          <t>S03 Tarefa: Página Inicial da Câmara</t>
        </is>
      </c>
      <c r="D11" s="56" t="n">
        <v>4</v>
      </c>
      <c r="E11" s="56" t="n">
        <v>5</v>
      </c>
      <c r="F11" s="56" t="n">
        <v>30</v>
      </c>
      <c r="G11" s="58" t="n">
        <v>0.8</v>
      </c>
      <c r="H11" s="50" t="inlineStr">
        <is>
          <t>y</t>
        </is>
      </c>
      <c r="I11" s="51">
        <f>DATE(YEAR(Setup!$C$4),MONTH(Setup!$C$4),DAY(Setup!$C$4)+((D11-1)*7)+(E11-WEEKDAY(DATE(YEAR(Setup!$C$4),MONTH(Setup!$C$4),DAY(Setup!$C$4)),1)))</f>
        <v/>
      </c>
      <c r="J11" s="51">
        <f>I11+3</f>
        <v/>
      </c>
      <c r="K11" s="51">
        <f>(I11 + (7 - WEEKDAY(I11,1))) + 1</f>
        <v/>
      </c>
      <c r="L11" s="52">
        <f>F11*G11</f>
        <v/>
      </c>
      <c r="M11" s="57" t="inlineStr">
        <is>
          <t>Pontuação superior a: Tarefa W03: Página inicial da câmara</t>
        </is>
      </c>
      <c r="N11" s="57" t="inlineStr">
        <is>
          <t>Feedback Positivo: Tarefa da W03</t>
        </is>
      </c>
    </row>
    <row r="12">
      <c r="A12" s="48" t="inlineStr">
        <is>
          <t>WDD231</t>
        </is>
      </c>
      <c r="B12" s="60" t="inlineStr">
        <is>
          <t>Low Performance</t>
        </is>
      </c>
      <c r="C12" s="63" t="inlineStr">
        <is>
          <t>S03 Tarefa: Página Inicial da Câmara</t>
        </is>
      </c>
      <c r="D12" s="56" t="n">
        <v>4</v>
      </c>
      <c r="E12" s="56" t="n">
        <v>5</v>
      </c>
      <c r="F12" s="56" t="n">
        <v>30</v>
      </c>
      <c r="G12" s="58" t="n">
        <v>0.5</v>
      </c>
      <c r="H12" s="50" t="inlineStr">
        <is>
          <t>y</t>
        </is>
      </c>
      <c r="I12" s="51">
        <f>DATE(YEAR(Setup!$C$4),MONTH(Setup!$C$4),DAY(Setup!$C$4)+((D12-1)*7)+(E12-WEEKDAY(DATE(YEAR(Setup!$C$4),MONTH(Setup!$C$4),DAY(Setup!$C$4)),1)))</f>
        <v/>
      </c>
      <c r="J12" s="51">
        <f>I12+3</f>
        <v/>
      </c>
      <c r="K12" s="51">
        <f>(I12 + (7 - WEEKDAY(I12,1))) + 1</f>
        <v/>
      </c>
      <c r="L12" s="52">
        <f>F12*G12</f>
        <v/>
      </c>
      <c r="M12" s="57" t="inlineStr">
        <is>
          <t>Pontuação Menor Que: Tarefa da W03: Página Inicial da Câmara</t>
        </is>
      </c>
      <c r="N12" s="57" t="inlineStr">
        <is>
          <t>Feedback de Preocupação: Tarefa da W03</t>
        </is>
      </c>
    </row>
    <row r="13">
      <c r="A13" s="48" t="inlineStr">
        <is>
          <t>WDD231</t>
        </is>
      </c>
      <c r="B13" s="60" t="inlineStr">
        <is>
          <t>Missing Assignment</t>
        </is>
      </c>
      <c r="C13" s="61" t="inlineStr">
        <is>
          <t>S04 Tarefa: Página Junte-se à Câmara</t>
        </is>
      </c>
      <c r="D13" s="54" t="n">
        <v>5</v>
      </c>
      <c r="E13" s="54" t="n">
        <v>3</v>
      </c>
      <c r="F13" s="54" t="n"/>
      <c r="G13" s="54" t="n"/>
      <c r="H13" s="50" t="inlineStr">
        <is>
          <t>y</t>
        </is>
      </c>
      <c r="I13" s="51">
        <f>DATE(YEAR(Setup!$C$4),MONTH(Setup!$C$4),DAY(Setup!$C$4)+((D13-1)*7)+(E13-WEEKDAY(DATE(YEAR(Setup!$C$4),MONTH(Setup!$C$4),DAY(Setup!$C$4)),1)))</f>
        <v/>
      </c>
      <c r="J13" s="51">
        <f>I13+3</f>
        <v/>
      </c>
      <c r="K13" s="51">
        <f>(I13 + (7 - WEEKDAY(I13,1))) + 1</f>
        <v/>
      </c>
      <c r="L13" s="52">
        <f>F13*G13</f>
        <v/>
      </c>
      <c r="M13" s="55" t="inlineStr">
        <is>
          <t>Não enviado: Tarefa da W04: Página de Adesão à Câmara</t>
        </is>
      </c>
      <c r="N13" s="55" t="inlineStr">
        <is>
          <t>Envie uma mensagem para os estudantes que não enviaram a tarefa da semana passada</t>
        </is>
      </c>
    </row>
    <row r="14">
      <c r="A14" s="48" t="inlineStr">
        <is>
          <t>WDD231</t>
        </is>
      </c>
      <c r="B14" s="60" t="inlineStr">
        <is>
          <t>High Performance</t>
        </is>
      </c>
      <c r="C14" s="61" t="inlineStr">
        <is>
          <t>S04 Tarefa: Página Junte-se à Câmara</t>
        </is>
      </c>
      <c r="D14" s="54" t="n">
        <v>5</v>
      </c>
      <c r="E14" s="54" t="n">
        <v>5</v>
      </c>
      <c r="F14" s="54" t="n">
        <v>30</v>
      </c>
      <c r="G14" s="59" t="n">
        <v>0.8</v>
      </c>
      <c r="H14" s="50" t="inlineStr">
        <is>
          <t>y</t>
        </is>
      </c>
      <c r="I14" s="51">
        <f>DATE(YEAR(Setup!$C$4),MONTH(Setup!$C$4),DAY(Setup!$C$4)+((D14-1)*7)+(E14-WEEKDAY(DATE(YEAR(Setup!$C$4),MONTH(Setup!$C$4),DAY(Setup!$C$4)),1)))</f>
        <v/>
      </c>
      <c r="J14" s="51">
        <f>I14+3</f>
        <v/>
      </c>
      <c r="K14" s="51">
        <f>(I14 + (7 - WEEKDAY(I14,1))) + 1</f>
        <v/>
      </c>
      <c r="L14" s="52">
        <f>F14*G14</f>
        <v/>
      </c>
      <c r="M14" s="55" t="inlineStr">
        <is>
          <t>Pontuação Maior Que: Tarefa da W04: Página de Adesão da Câmara</t>
        </is>
      </c>
      <c r="N14" s="55" t="inlineStr">
        <is>
          <t>Feedback Positivo: W04 Tarefa</t>
        </is>
      </c>
    </row>
    <row r="15" customFormat="1" s="46">
      <c r="A15" s="48" t="inlineStr">
        <is>
          <t>WDD231</t>
        </is>
      </c>
      <c r="B15" s="60" t="inlineStr">
        <is>
          <t>Low Performance</t>
        </is>
      </c>
      <c r="C15" s="61" t="inlineStr">
        <is>
          <t>S04 Tarefa: Página Junte-se à Câmara</t>
        </is>
      </c>
      <c r="D15" s="54" t="n">
        <v>5</v>
      </c>
      <c r="E15" s="54" t="n">
        <v>5</v>
      </c>
      <c r="F15" s="54" t="n">
        <v>30</v>
      </c>
      <c r="G15" s="59" t="n">
        <v>0.5</v>
      </c>
      <c r="H15" s="50" t="inlineStr">
        <is>
          <t>y</t>
        </is>
      </c>
      <c r="I15" s="51">
        <f>DATE(YEAR(Setup!$C$4),MONTH(Setup!$C$4),DAY(Setup!$C$4)+((D15-1)*7)+(E15-WEEKDAY(DATE(YEAR(Setup!$C$4),MONTH(Setup!$C$4),DAY(Setup!$C$4)),1)))</f>
        <v/>
      </c>
      <c r="J15" s="51">
        <f>I15+3</f>
        <v/>
      </c>
      <c r="K15" s="51">
        <f>(I15 + (7 - WEEKDAY(I15,1))) + 1</f>
        <v/>
      </c>
      <c r="L15" s="52">
        <f>F15*G15</f>
        <v/>
      </c>
      <c r="M15" s="55" t="inlineStr">
        <is>
          <t>Nota Menor Que: W04 Tarefa: Página de Adesão à Câmara</t>
        </is>
      </c>
      <c r="N15" s="55" t="inlineStr">
        <is>
          <t>Feedback de Preocupação: Tarefa W04</t>
        </is>
      </c>
    </row>
    <row r="16">
      <c r="A16" s="48" t="inlineStr">
        <is>
          <t>WDD231</t>
        </is>
      </c>
      <c r="B16" s="60" t="inlineStr">
        <is>
          <t>Missing Assignment</t>
        </is>
      </c>
      <c r="C16" s="63" t="inlineStr">
        <is>
          <t>S05 Tarefa: Página de Descoberta da Câmara</t>
        </is>
      </c>
      <c r="D16" s="56" t="n">
        <v>6</v>
      </c>
      <c r="E16" s="56" t="n">
        <v>3</v>
      </c>
      <c r="F16" s="56" t="n"/>
      <c r="G16" s="56" t="n"/>
      <c r="H16" s="50" t="inlineStr">
        <is>
          <t>y</t>
        </is>
      </c>
      <c r="I16" s="51">
        <f>DATE(YEAR(Setup!$C$4),MONTH(Setup!$C$4),DAY(Setup!$C$4)+((D16-1)*7)+(E16-WEEKDAY(DATE(YEAR(Setup!$C$4),MONTH(Setup!$C$4),DAY(Setup!$C$4)),1)))</f>
        <v/>
      </c>
      <c r="J16" s="51">
        <f>I16+3</f>
        <v/>
      </c>
      <c r="K16" s="51">
        <f>(I16 + (7 - WEEKDAY(I16,1))) + 1</f>
        <v/>
      </c>
      <c r="L16" s="52">
        <f>F16*G16</f>
        <v/>
      </c>
      <c r="M16" s="57" t="inlineStr">
        <is>
          <t>Não Enviado: Tarefa W05: Chamber Discover Page</t>
        </is>
      </c>
      <c r="N16" s="57" t="inlineStr">
        <is>
          <t>Envie uma mensagem para os estudantes que não enviaram a tarefa da semana passada</t>
        </is>
      </c>
    </row>
    <row r="17">
      <c r="A17" s="48" t="inlineStr">
        <is>
          <t>WDD231</t>
        </is>
      </c>
      <c r="B17" s="60" t="inlineStr">
        <is>
          <t>High Performance</t>
        </is>
      </c>
      <c r="C17" s="63" t="inlineStr">
        <is>
          <t>S05 Tarefa: Página de Descoberta da Câmara</t>
        </is>
      </c>
      <c r="D17" s="56" t="n">
        <v>6</v>
      </c>
      <c r="E17" s="56" t="n">
        <v>5</v>
      </c>
      <c r="F17" s="56" t="n">
        <v>30</v>
      </c>
      <c r="G17" s="58" t="n">
        <v>0.8</v>
      </c>
      <c r="H17" s="50" t="inlineStr">
        <is>
          <t>y</t>
        </is>
      </c>
      <c r="I17" s="51">
        <f>DATE(YEAR(Setup!$C$4),MONTH(Setup!$C$4),DAY(Setup!$C$4)+((D17-1)*7)+(E17-WEEKDAY(DATE(YEAR(Setup!$C$4),MONTH(Setup!$C$4),DAY(Setup!$C$4)),1)))</f>
        <v/>
      </c>
      <c r="J17" s="51">
        <f>I17+3</f>
        <v/>
      </c>
      <c r="K17" s="51">
        <f>(I17 + (7 - WEEKDAY(I17,1))) + 1</f>
        <v/>
      </c>
      <c r="L17" s="52">
        <f>F17*G17</f>
        <v/>
      </c>
      <c r="M17" s="57" t="inlineStr">
        <is>
          <t>Pontuação maior que: Tarefa W05: Página de Descoberta da Câmara</t>
        </is>
      </c>
      <c r="N17" s="57" t="inlineStr">
        <is>
          <t>Feedback positivo: Tarefa W05</t>
        </is>
      </c>
    </row>
    <row r="18">
      <c r="A18" s="48" t="inlineStr">
        <is>
          <t>WDD231</t>
        </is>
      </c>
      <c r="B18" s="60" t="inlineStr">
        <is>
          <t>Low Performance</t>
        </is>
      </c>
      <c r="C18" s="63" t="inlineStr">
        <is>
          <t>S05 Tarefa: Página de Descoberta da Câmara</t>
        </is>
      </c>
      <c r="D18" s="56" t="n">
        <v>6</v>
      </c>
      <c r="E18" s="56" t="n">
        <v>5</v>
      </c>
      <c r="F18" s="56" t="n">
        <v>30</v>
      </c>
      <c r="G18" s="58" t="n">
        <v>0.5</v>
      </c>
      <c r="H18" s="50" t="inlineStr">
        <is>
          <t>y</t>
        </is>
      </c>
      <c r="I18" s="51">
        <f>DATE(YEAR(Setup!$C$4),MONTH(Setup!$C$4),DAY(Setup!$C$4)+((D18-1)*7)+(E18-WEEKDAY(DATE(YEAR(Setup!$C$4),MONTH(Setup!$C$4),DAY(Setup!$C$4)),1)))</f>
        <v/>
      </c>
      <c r="J18" s="51">
        <f>I18+3</f>
        <v/>
      </c>
      <c r="K18" s="51">
        <f>(I18 + (7 - WEEKDAY(I18,1))) + 1</f>
        <v/>
      </c>
      <c r="L18" s="52">
        <f>F18*G18</f>
        <v/>
      </c>
      <c r="M18" s="57" t="inlineStr">
        <is>
          <t>Pontuação Menor Que: Tarefa da W05: Página de Descoberta da Câmara</t>
        </is>
      </c>
      <c r="N18" s="57" t="inlineStr">
        <is>
          <t>Feedback de Preocupação: Tarefa da W05</t>
        </is>
      </c>
    </row>
    <row r="19">
      <c r="A19" s="48" t="inlineStr">
        <is>
          <t>WDD231</t>
        </is>
      </c>
      <c r="B19" s="60" t="inlineStr">
        <is>
          <t>Scheduled - Classwide</t>
        </is>
      </c>
      <c r="C19" s="61" t="inlineStr">
        <is>
          <t>O Período Termina em Breve</t>
        </is>
      </c>
      <c r="D19" s="54" t="n">
        <v>7</v>
      </c>
      <c r="E19" s="54" t="n">
        <v>2</v>
      </c>
      <c r="F19" s="54" t="n"/>
      <c r="G19" s="54" t="n"/>
      <c r="H19" s="50" t="inlineStr">
        <is>
          <t>y</t>
        </is>
      </c>
      <c r="I19" s="51">
        <f>DATE(YEAR(Setup!$C$4),MONTH(Setup!$C$4),DAY(Setup!$C$4)+((D19-1)*7)+(E19-WEEKDAY(DATE(YEAR(Setup!$C$4),MONTH(Setup!$C$4),DAY(Setup!$C$4)),1)))</f>
        <v/>
      </c>
      <c r="J19" s="51">
        <f>I19+3</f>
        <v/>
      </c>
      <c r="K19" s="51">
        <f>(I19 + (7 - WEEKDAY(I19,1))) + 1</f>
        <v/>
      </c>
      <c r="L19" s="52">
        <f>F19*G19</f>
        <v/>
      </c>
      <c r="M19" s="55" t="inlineStr">
        <is>
          <t>O Período Letivo Termina em Breve</t>
        </is>
      </c>
      <c r="N19" s="55" t="inlineStr">
        <is>
          <t>Lembre os estudantes de que o período letivo termina em breve</t>
        </is>
      </c>
    </row>
    <row r="20">
      <c r="A20" s="48" t="n"/>
      <c r="B20" s="60" t="n"/>
      <c r="C20" s="90" t="n"/>
      <c r="D20" s="60" t="n"/>
      <c r="E20" s="60" t="n"/>
      <c r="F20" s="60" t="n"/>
      <c r="G20" s="60" t="n"/>
      <c r="H20" s="50" t="n"/>
      <c r="I20" s="51" t="n"/>
      <c r="J20" s="51" t="n"/>
      <c r="K20" s="51" t="n"/>
      <c r="L20" s="52" t="n"/>
      <c r="M20" s="91" t="n"/>
      <c r="N20" s="91" t="n"/>
    </row>
  </sheetData>
  <sheetProtection selectLockedCells="1" selectUnlockedCells="0" algorithmName="SHA-512" sheet="1" objects="0" insertRows="0" insertHyperlinks="1" autoFilter="0" scenarios="0" formatColumns="1" deleteColumns="1" insertColumns="1" pivotTables="1" deleteRows="0" formatCells="0" saltValue="JAd53i1AQZRRlrKzGjXeLw==" formatRows="0" sort="0" spinCount="100000" hashValue="QPg0MK9rnvdWJhc0O9yRD3AXH0buab/Xss/pj9HpCrCoumNdDb5wqa23A4giOCEHBTKBs1SfOqwMTh0yPlr/Tw=="/>
  <autoFilter ref="A1:N20"/>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20.xml><?xml version="1.0" encoding="utf-8"?>
<worksheet xmlns="http://schemas.openxmlformats.org/spreadsheetml/2006/main">
  <sheetPr codeName="Sheet19">
    <tabColor rgb="FF00B050"/>
    <outlinePr summaryBelow="1" summaryRight="1"/>
    <pageSetUpPr/>
  </sheetPr>
  <dimension ref="A1:N75"/>
  <sheetViews>
    <sheetView topLeftCell="A11" workbookViewId="0">
      <pane xSplit="3" topLeftCell="D1" activePane="topRight" state="frozen"/>
      <selection pane="topRight" activeCell="D25" sqref="D25"/>
      <selection activeCell="F30" sqref="F30"/>
    </sheetView>
  </sheetViews>
  <sheetFormatPr baseColWidth="8" defaultColWidth="8.85546875" defaultRowHeight="15"/>
  <cols>
    <col width="13" customWidth="1" style="1" min="1" max="1"/>
    <col width="24.28515625" customWidth="1" style="1" min="2" max="2"/>
    <col width="43.42578125" customWidth="1" style="1" min="3" max="3"/>
    <col width="14.42578125" customWidth="1" style="1" min="4" max="4"/>
    <col width="14" customWidth="1" style="1" min="5" max="6"/>
    <col width="14.140625" customWidth="1" style="1" min="7" max="7"/>
    <col hidden="1" width="14.140625" customWidth="1" style="1" min="8" max="8"/>
    <col hidden="1" width="22" customWidth="1" style="23" min="9" max="9"/>
    <col hidden="1" width="15.28515625" customWidth="1" style="23" min="10" max="10"/>
    <col hidden="1" width="17.7109375" customWidth="1" style="23" min="11" max="11"/>
    <col hidden="1" width="12.85546875" customWidth="1" style="23" min="12" max="12"/>
    <col width="54.7109375" bestFit="1"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WDD430</t>
        </is>
      </c>
      <c r="B2" s="1" t="inlineStr">
        <is>
          <t>New Student Added</t>
        </is>
      </c>
      <c r="C2" s="1" t="inlineStr">
        <is>
          <t xml:space="preserve"> </t>
        </is>
      </c>
      <c r="D2" s="23" t="n">
        <v>0</v>
      </c>
      <c r="E2" s="23" t="n">
        <v>2</v>
      </c>
      <c r="G2" s="24" t="n"/>
      <c r="H2" s="2" t="inlineStr">
        <is>
          <t>y</t>
        </is>
      </c>
      <c r="I2" s="26">
        <f>DATE(YEAR(Setup!$C$4),MONTH(Setup!$C$4),DAY(Setup!$C$4)+((D2-1)*7)+(E2-WEEKDAY(DATE(YEAR(Setup!$C$4),MONTH(Setup!$C$4),DAY(Setup!$C$4)),1)))</f>
        <v/>
      </c>
      <c r="J2" s="26">
        <f>I2+3</f>
        <v/>
      </c>
      <c r="K2" s="26">
        <f>(I2 + (7 - WEEKDAY(I2,1))) + 1</f>
        <v/>
      </c>
      <c r="L2" s="23">
        <f>F2*G2</f>
        <v/>
      </c>
      <c r="M2" s="1" t="inlineStr">
        <is>
          <t>Welcome Email</t>
        </is>
      </c>
      <c r="N2" s="37" t="inlineStr">
        <is>
          <t>Send a message to new students to welcome them to class and help them submit any assignments they missed.</t>
        </is>
      </c>
    </row>
    <row r="3">
      <c r="A3" s="1" t="inlineStr">
        <is>
          <t>WDD430</t>
        </is>
      </c>
      <c r="B3" s="1" t="inlineStr">
        <is>
          <t>Scheduled - Not Logged In</t>
        </is>
      </c>
      <c r="C3" s="1" t="inlineStr">
        <is>
          <t>Not Logged into Canvas</t>
        </is>
      </c>
      <c r="D3" s="23" t="n">
        <v>1</v>
      </c>
      <c r="E3" s="23" t="n">
        <v>4</v>
      </c>
      <c r="G3" s="24" t="n"/>
      <c r="H3" s="2" t="inlineStr">
        <is>
          <t>y</t>
        </is>
      </c>
      <c r="I3" s="26">
        <f>DATE(YEAR(Setup!$C$4),MONTH(Setup!$C$4),DAY(Setup!$C$4)+((D3-1)*7)+(E3-WEEKDAY(DATE(YEAR(Setup!$C$4),MONTH(Setup!$C$4),DAY(Setup!$C$4)),1)))</f>
        <v/>
      </c>
      <c r="J3" s="26">
        <f>I3+3</f>
        <v/>
      </c>
      <c r="K3" s="26">
        <f>(I3 + (7 - WEEKDAY(I3,1))) + 1</f>
        <v/>
      </c>
      <c r="L3" s="23">
        <f>F3*G3</f>
        <v/>
      </c>
      <c r="M3" s="1" t="inlineStr">
        <is>
          <t>Not Logged into Canvas</t>
        </is>
      </c>
      <c r="N3" s="43" t="inlineStr">
        <is>
          <t>Email (outside the IMS) students who have not logged into Canvas, reminding them that term started and encouraging them to get started.</t>
        </is>
      </c>
    </row>
    <row r="4">
      <c r="A4" s="1" t="inlineStr">
        <is>
          <t>WDD430</t>
        </is>
      </c>
      <c r="B4" s="1" t="inlineStr">
        <is>
          <t>Missing Assignment</t>
        </is>
      </c>
      <c r="C4" s="1" t="inlineStr">
        <is>
          <t>W01 Assignment: React Introduction Project</t>
        </is>
      </c>
      <c r="D4" s="23" t="n">
        <v>2</v>
      </c>
      <c r="E4" s="23" t="n">
        <v>2</v>
      </c>
      <c r="F4" s="1" t="n">
        <v>10</v>
      </c>
      <c r="G4" s="2" t="inlineStr">
        <is>
          <t xml:space="preserve"> </t>
        </is>
      </c>
      <c r="H4" s="2" t="inlineStr">
        <is>
          <t>y</t>
        </is>
      </c>
      <c r="I4" s="26">
        <f>DATE(YEAR(Setup!$C$4),MONTH(Setup!$C$4),DAY(Setup!$C$4)+((D4-1)*7)+(E4-WEEKDAY(DATE(YEAR(Setup!$C$4),MONTH(Setup!$C$4),DAY(Setup!$C$4)),1)))</f>
        <v/>
      </c>
      <c r="J4" s="26">
        <f>I4+3</f>
        <v/>
      </c>
      <c r="K4" s="26">
        <f>(I4 + (7 - WEEKDAY(I4,1))) + 1</f>
        <v/>
      </c>
      <c r="L4" s="23">
        <f>F4*G4</f>
        <v/>
      </c>
      <c r="M4" s="1" t="inlineStr">
        <is>
          <t>Missing Assignment: W01 Assignment: React Introduction Project</t>
        </is>
      </c>
      <c r="N4" s="1" t="inlineStr">
        <is>
          <t>Check in with student missing W01 Assignment: React Introduction Project</t>
        </is>
      </c>
    </row>
    <row r="5">
      <c r="A5" s="1" t="inlineStr">
        <is>
          <t>WDD430</t>
        </is>
      </c>
      <c r="B5" s="1" t="inlineStr">
        <is>
          <t>Grader-Issued 0</t>
        </is>
      </c>
      <c r="C5" s="1" t="inlineStr">
        <is>
          <t>W01 Assignment: React Introduction Project</t>
        </is>
      </c>
      <c r="D5" s="23" t="n">
        <v>2</v>
      </c>
      <c r="E5" s="23" t="n">
        <v>4</v>
      </c>
      <c r="F5" s="1" t="n">
        <v>10</v>
      </c>
      <c r="G5" s="2" t="n"/>
      <c r="H5" s="2" t="inlineStr">
        <is>
          <t>y</t>
        </is>
      </c>
      <c r="I5" s="26">
        <f>DATE(YEAR(Setup!$C$4),MONTH(Setup!$C$4),DAY(Setup!$C$4)+((D5-1)*7)+(E5-WEEKDAY(DATE(YEAR(Setup!$C$4),MONTH(Setup!$C$4),DAY(Setup!$C$4)),1)))</f>
        <v/>
      </c>
      <c r="J5" s="26">
        <f>I5+3</f>
        <v/>
      </c>
      <c r="K5" s="26">
        <f>(I5 + (7 - WEEKDAY(I5,1))) + 1</f>
        <v/>
      </c>
      <c r="L5" s="23">
        <f>F5*G5</f>
        <v/>
      </c>
      <c r="M5" s="1" t="inlineStr">
        <is>
          <t>The student was given a Grader issued 0 on W01 Assignment: React Introduction Project</t>
        </is>
      </c>
      <c r="N5" s="44" t="inlineStr">
        <is>
          <t>Grader issued 0 for: W01 Assignment: React Introduction ProjectW01 Assignment: React Introduction Project. Log into Canvas and see the grader comments. Work with the student to help resubmit.</t>
        </is>
      </c>
    </row>
    <row r="6">
      <c r="A6" s="1" t="inlineStr">
        <is>
          <t>WDD430</t>
        </is>
      </c>
      <c r="B6" s="1" t="inlineStr">
        <is>
          <t>High Performance</t>
        </is>
      </c>
      <c r="C6" s="1" t="inlineStr">
        <is>
          <t>W01 Assignment: React Introduction Project</t>
        </is>
      </c>
      <c r="D6" s="23" t="n">
        <v>2</v>
      </c>
      <c r="E6" s="23" t="n">
        <v>5</v>
      </c>
      <c r="F6" s="1" t="n">
        <v>10</v>
      </c>
      <c r="G6" s="2" t="n">
        <v>0.9</v>
      </c>
      <c r="H6" s="2" t="inlineStr">
        <is>
          <t>y</t>
        </is>
      </c>
      <c r="I6" s="26">
        <f>DATE(YEAR(Setup!$C$4),MONTH(Setup!$C$4),DAY(Setup!$C$4)+((D6-1)*7)+(E6-WEEKDAY(DATE(YEAR(Setup!$C$4),MONTH(Setup!$C$4),DAY(Setup!$C$4)),1)))</f>
        <v/>
      </c>
      <c r="J6" s="26">
        <f>I6+3</f>
        <v/>
      </c>
      <c r="K6" s="26">
        <f>(I6 + (7 - WEEKDAY(I6,1))) + 1</f>
        <v/>
      </c>
      <c r="L6" s="23">
        <f>F6*G6</f>
        <v/>
      </c>
      <c r="M6" s="1" t="inlineStr">
        <is>
          <t>High Performance: W01 Assignment: React Introduction Project</t>
        </is>
      </c>
      <c r="N6" s="1" t="inlineStr">
        <is>
          <t>Provide Positive Feedback on W01 Assignment: React Introduction Project</t>
        </is>
      </c>
    </row>
    <row r="7">
      <c r="A7" s="1" t="inlineStr">
        <is>
          <t>WDD430</t>
        </is>
      </c>
      <c r="B7" s="1" t="inlineStr">
        <is>
          <t>Low Performance</t>
        </is>
      </c>
      <c r="C7" s="1" t="inlineStr">
        <is>
          <t>W01 Assignment: React Introduction Project</t>
        </is>
      </c>
      <c r="D7" s="23" t="n">
        <v>2</v>
      </c>
      <c r="E7" s="23" t="n">
        <v>5</v>
      </c>
      <c r="F7" s="1" t="n">
        <v>10</v>
      </c>
      <c r="G7" s="2" t="n">
        <v>0.7</v>
      </c>
      <c r="H7" s="2" t="inlineStr">
        <is>
          <t>y</t>
        </is>
      </c>
      <c r="I7" s="26">
        <f>DATE(YEAR(Setup!$C$4),MONTH(Setup!$C$4),DAY(Setup!$C$4)+((D7-1)*7)+(E7-WEEKDAY(DATE(YEAR(Setup!$C$4),MONTH(Setup!$C$4),DAY(Setup!$C$4)),1)))</f>
        <v/>
      </c>
      <c r="J7" s="26">
        <f>I7+3</f>
        <v/>
      </c>
      <c r="K7" s="26">
        <f>(I7 + (7 - WEEKDAY(I7,1))) + 1</f>
        <v/>
      </c>
      <c r="L7" s="23">
        <f>F7*G7</f>
        <v/>
      </c>
      <c r="M7" s="1" t="inlineStr">
        <is>
          <t>Low Performance: W01 Assignment: React Introduction Project</t>
        </is>
      </c>
      <c r="N7" s="1" t="inlineStr">
        <is>
          <t xml:space="preserve">At Risk. Student scored below 70% on W01 Assignment: React Introduction Project. Check in to see how you can help. </t>
        </is>
      </c>
    </row>
    <row r="8" ht="15.95" customHeight="1">
      <c r="A8" s="1" t="inlineStr">
        <is>
          <t>WDD430</t>
        </is>
      </c>
      <c r="B8" s="1" t="inlineStr">
        <is>
          <t>Missing Assignment</t>
        </is>
      </c>
      <c r="C8" s="1" t="inlineStr">
        <is>
          <t>W02 Assignment: Next.js Application Tutorial</t>
        </is>
      </c>
      <c r="D8" s="23" t="n">
        <v>3</v>
      </c>
      <c r="E8" s="23" t="n">
        <v>2</v>
      </c>
      <c r="F8" s="1" t="n">
        <v>10</v>
      </c>
      <c r="G8" s="2" t="n"/>
      <c r="H8" s="2" t="inlineStr">
        <is>
          <t>y</t>
        </is>
      </c>
      <c r="I8" s="26">
        <f>DATE(YEAR(Setup!$C$4),MONTH(Setup!$C$4),DAY(Setup!$C$4)+((D8-1)*7)+(E8-WEEKDAY(DATE(YEAR(Setup!$C$4),MONTH(Setup!$C$4),DAY(Setup!$C$4)),1)))</f>
        <v/>
      </c>
      <c r="J8" s="26">
        <f>I8+3</f>
        <v/>
      </c>
      <c r="K8" s="26">
        <f>(I8 + (7 - WEEKDAY(I8,1))) + 1</f>
        <v/>
      </c>
      <c r="L8" s="23">
        <f>F8*G8</f>
        <v/>
      </c>
      <c r="M8" s="1" t="inlineStr">
        <is>
          <t>Missing Assignment: W02 Assignment: Next.js Application Tutorial</t>
        </is>
      </c>
      <c r="N8" s="3" t="inlineStr">
        <is>
          <t>Check in with student missing W02 Assignment: Next.js Application Tutorial</t>
        </is>
      </c>
    </row>
    <row r="9">
      <c r="A9" s="1" t="inlineStr">
        <is>
          <t>WDD430</t>
        </is>
      </c>
      <c r="B9" s="1" t="inlineStr">
        <is>
          <t>Grader-Issued 0</t>
        </is>
      </c>
      <c r="C9" s="1" t="inlineStr">
        <is>
          <t>W02 Assignment: Next.js Application Tutorial</t>
        </is>
      </c>
      <c r="D9" s="23" t="n">
        <v>3</v>
      </c>
      <c r="E9" s="23" t="n">
        <v>4</v>
      </c>
      <c r="F9" s="1" t="n">
        <v>10</v>
      </c>
      <c r="G9" s="2" t="n"/>
      <c r="H9" s="2" t="inlineStr">
        <is>
          <t>y</t>
        </is>
      </c>
      <c r="I9" s="26">
        <f>DATE(YEAR(Setup!$C$4),MONTH(Setup!$C$4),DAY(Setup!$C$4)+((D9-1)*7)+(E9-WEEKDAY(DATE(YEAR(Setup!$C$4),MONTH(Setup!$C$4),DAY(Setup!$C$4)),1)))</f>
        <v/>
      </c>
      <c r="J9" s="26">
        <f>I9+3</f>
        <v/>
      </c>
      <c r="K9" s="26">
        <f>(I9 + (7 - WEEKDAY(I9,1))) + 1</f>
        <v/>
      </c>
      <c r="L9" s="23">
        <f>F9*G9</f>
        <v/>
      </c>
      <c r="M9" s="1" t="inlineStr">
        <is>
          <t>The student was given a Grader issued 0 on W02 Assignment: Next.js Application Tutorial</t>
        </is>
      </c>
      <c r="N9" s="44" t="inlineStr">
        <is>
          <t>Grader issued 0 for W02 Assignment: Next.js Application Tutorial. Log into Canvas and see the grader comments. Work with the student to help resubmit.</t>
        </is>
      </c>
    </row>
    <row r="10" ht="15.95" customHeight="1">
      <c r="A10" s="1" t="inlineStr">
        <is>
          <t>WDD430</t>
        </is>
      </c>
      <c r="B10" s="1" t="inlineStr">
        <is>
          <t>High Performance</t>
        </is>
      </c>
      <c r="C10" s="1" t="inlineStr">
        <is>
          <t>W02 Assignment: Next.js Application Tutorial</t>
        </is>
      </c>
      <c r="D10" s="23" t="n">
        <v>3</v>
      </c>
      <c r="E10" s="23" t="n">
        <v>5</v>
      </c>
      <c r="F10" s="1" t="n">
        <v>10</v>
      </c>
      <c r="G10" s="2" t="n">
        <v>0.9</v>
      </c>
      <c r="H10" s="2" t="inlineStr">
        <is>
          <t>y</t>
        </is>
      </c>
      <c r="I10" s="26">
        <f>DATE(YEAR(Setup!$C$4),MONTH(Setup!$C$4),DAY(Setup!$C$4)+((D10-1)*7)+(E10-WEEKDAY(DATE(YEAR(Setup!$C$4),MONTH(Setup!$C$4),DAY(Setup!$C$4)),1)))</f>
        <v/>
      </c>
      <c r="J10" s="26">
        <f>I10+3</f>
        <v/>
      </c>
      <c r="K10" s="26">
        <f>(I10 + (7 - WEEKDAY(I10,1))) + 1</f>
        <v/>
      </c>
      <c r="L10" s="23">
        <f>F10*G10</f>
        <v/>
      </c>
      <c r="M10" s="1" t="inlineStr">
        <is>
          <t>High Performance: W02 Assignment: Next.js Application Tutorial</t>
        </is>
      </c>
      <c r="N10" s="3" t="inlineStr">
        <is>
          <t>Provide Positive Feedback on W02 Assignment: Next.js Application Tutorial</t>
        </is>
      </c>
    </row>
    <row r="11" ht="15.95" customHeight="1">
      <c r="A11" s="1" t="inlineStr">
        <is>
          <t>WDD430</t>
        </is>
      </c>
      <c r="B11" s="1" t="inlineStr">
        <is>
          <t>Low Performance</t>
        </is>
      </c>
      <c r="C11" s="1" t="inlineStr">
        <is>
          <t>W02 Assignment: Next.js Application Tutorial</t>
        </is>
      </c>
      <c r="D11" s="23" t="n">
        <v>3</v>
      </c>
      <c r="E11" s="23" t="n">
        <v>5</v>
      </c>
      <c r="F11" s="1" t="n">
        <v>10</v>
      </c>
      <c r="G11" s="2" t="n">
        <v>0.7</v>
      </c>
      <c r="H11" s="2" t="inlineStr">
        <is>
          <t>y</t>
        </is>
      </c>
      <c r="I11" s="26">
        <f>DATE(YEAR(Setup!$C$4),MONTH(Setup!$C$4),DAY(Setup!$C$4)+((D11-1)*7)+(E11-WEEKDAY(DATE(YEAR(Setup!$C$4),MONTH(Setup!$C$4),DAY(Setup!$C$4)),1)))</f>
        <v/>
      </c>
      <c r="J11" s="26">
        <f>I11+3</f>
        <v/>
      </c>
      <c r="K11" s="26">
        <f>(I11 + (7 - WEEKDAY(I11,1))) + 1</f>
        <v/>
      </c>
      <c r="L11" s="23">
        <f>F11*G11</f>
        <v/>
      </c>
      <c r="M11" s="1" t="inlineStr">
        <is>
          <t>Low Performance: W02 Assignment: Next.js Application Tutorialt</t>
        </is>
      </c>
      <c r="N11" s="3" t="inlineStr">
        <is>
          <t xml:space="preserve">At Risk. Student scored below 70% on W02 Assignment: Next.js Application Tutorial. Check in to see how you can help. </t>
        </is>
      </c>
    </row>
    <row r="12">
      <c r="A12" s="1" t="inlineStr">
        <is>
          <t>WDD430</t>
        </is>
      </c>
      <c r="B12" s="1" t="inlineStr">
        <is>
          <t>Missing Assignment</t>
        </is>
      </c>
      <c r="C12" s="1" t="inlineStr">
        <is>
          <t>W03 Assignment: Next.js Application</t>
        </is>
      </c>
      <c r="D12" s="23" t="n">
        <v>4</v>
      </c>
      <c r="E12" s="23" t="n">
        <v>2</v>
      </c>
      <c r="F12" s="1" t="n">
        <v>10</v>
      </c>
      <c r="G12" s="2" t="n"/>
      <c r="H12" s="2" t="inlineStr">
        <is>
          <t>y</t>
        </is>
      </c>
      <c r="I12" s="26">
        <f>DATE(YEAR(Setup!$C$4),MONTH(Setup!$C$4),DAY(Setup!$C$4)+((D12-1)*7)+(E12-WEEKDAY(DATE(YEAR(Setup!$C$4),MONTH(Setup!$C$4),DAY(Setup!$C$4)),1)))</f>
        <v/>
      </c>
      <c r="J12" s="26">
        <f>I12+3</f>
        <v/>
      </c>
      <c r="K12" s="26">
        <f>(I12 + (7 - WEEKDAY(I12,1))) + 1</f>
        <v/>
      </c>
      <c r="L12" s="23">
        <f>F12*G12</f>
        <v/>
      </c>
      <c r="M12" s="1" t="inlineStr">
        <is>
          <t>Missing Assignment: W03 Assignment: Next.js Application</t>
        </is>
      </c>
      <c r="N12" s="1" t="inlineStr">
        <is>
          <t>Check in with student missing W03 Assignment: Next.js Application</t>
        </is>
      </c>
    </row>
    <row r="13">
      <c r="A13" s="1" t="inlineStr">
        <is>
          <t>WDD430</t>
        </is>
      </c>
      <c r="B13" s="1" t="inlineStr">
        <is>
          <t>Grader-Issued 0</t>
        </is>
      </c>
      <c r="C13" s="1" t="inlineStr">
        <is>
          <t>W03 Assignment: Next.js Application</t>
        </is>
      </c>
      <c r="D13" s="23" t="n">
        <v>4</v>
      </c>
      <c r="E13" s="23" t="n">
        <v>4</v>
      </c>
      <c r="F13" s="1" t="n">
        <v>10</v>
      </c>
      <c r="G13" s="2" t="n"/>
      <c r="H13" s="2" t="inlineStr">
        <is>
          <t>y</t>
        </is>
      </c>
      <c r="I13" s="26">
        <f>DATE(YEAR(Setup!$C$4),MONTH(Setup!$C$4),DAY(Setup!$C$4)+((D13-1)*7)+(E13-WEEKDAY(DATE(YEAR(Setup!$C$4),MONTH(Setup!$C$4),DAY(Setup!$C$4)),1)))</f>
        <v/>
      </c>
      <c r="J13" s="26">
        <f>I13+3</f>
        <v/>
      </c>
      <c r="K13" s="26">
        <f>(I13 + (7 - WEEKDAY(I13,1))) + 1</f>
        <v/>
      </c>
      <c r="L13" s="23">
        <f>F13*G13</f>
        <v/>
      </c>
      <c r="M13" s="1" t="inlineStr">
        <is>
          <t>The student was given a Grader issued 0 on W03 Assignment: Next.js Application</t>
        </is>
      </c>
      <c r="N13" s="44" t="inlineStr">
        <is>
          <t>Grader issued 0 for W03 Assignment: Next.js Application. Log into Canvas and see the grader comments. Work with the student to help resubmit.</t>
        </is>
      </c>
    </row>
    <row r="14">
      <c r="A14" s="1" t="inlineStr">
        <is>
          <t>WDD430</t>
        </is>
      </c>
      <c r="B14" s="1" t="inlineStr">
        <is>
          <t>Scheduled - Low Current Grade</t>
        </is>
      </c>
      <c r="C14" s="1" t="inlineStr">
        <is>
          <t>Withdraw Deadline Reminder</t>
        </is>
      </c>
      <c r="D14" s="23" t="n">
        <v>4</v>
      </c>
      <c r="E14" s="23" t="n">
        <v>4</v>
      </c>
      <c r="G14" s="2" t="n">
        <v>0.5</v>
      </c>
      <c r="H14" s="2" t="inlineStr">
        <is>
          <t>y</t>
        </is>
      </c>
      <c r="I14" s="26">
        <f>DATE(YEAR(Setup!$C$4),MONTH(Setup!$C$4),DAY(Setup!$C$4)+((D14-1)*7)+(E14-WEEKDAY(DATE(YEAR(Setup!$C$4),MONTH(Setup!$C$4),DAY(Setup!$C$4)),1)))</f>
        <v/>
      </c>
      <c r="J14" s="26">
        <f>I14+3</f>
        <v/>
      </c>
      <c r="K14" s="26">
        <f>(I14 + (7 - WEEKDAY(I14,1))) + 1</f>
        <v/>
      </c>
      <c r="L14" s="23">
        <f>F14*G14</f>
        <v/>
      </c>
      <c r="M14" s="1" t="inlineStr">
        <is>
          <t>Failing student. Withdraw Reminder</t>
        </is>
      </c>
      <c r="N14" s="1" t="inlineStr">
        <is>
          <t>Email students who are currently failing with little chance to catch up, reminding them of the withdraw deadline.</t>
        </is>
      </c>
    </row>
    <row r="15">
      <c r="A15" s="1" t="inlineStr">
        <is>
          <t>WDD430</t>
        </is>
      </c>
      <c r="B15" s="1" t="inlineStr">
        <is>
          <t>High Performance</t>
        </is>
      </c>
      <c r="C15" s="1" t="inlineStr">
        <is>
          <t>W03 Assignment: Next.js Application</t>
        </is>
      </c>
      <c r="D15" s="23" t="n">
        <v>4</v>
      </c>
      <c r="E15" s="23" t="n">
        <v>5</v>
      </c>
      <c r="F15" s="1" t="n">
        <v>10</v>
      </c>
      <c r="G15" s="2" t="n">
        <v>0.9</v>
      </c>
      <c r="H15" s="2" t="inlineStr">
        <is>
          <t>y</t>
        </is>
      </c>
      <c r="I15" s="26">
        <f>DATE(YEAR(Setup!$C$4),MONTH(Setup!$C$4),DAY(Setup!$C$4)+((D15-1)*7)+(E15-WEEKDAY(DATE(YEAR(Setup!$C$4),MONTH(Setup!$C$4),DAY(Setup!$C$4)),1)))</f>
        <v/>
      </c>
      <c r="J15" s="26">
        <f>I15+3</f>
        <v/>
      </c>
      <c r="K15" s="26">
        <f>(I15 + (7 - WEEKDAY(I15,1))) + 1</f>
        <v/>
      </c>
      <c r="L15" s="23">
        <f>F15*G15</f>
        <v/>
      </c>
      <c r="M15" s="1" t="inlineStr">
        <is>
          <t>High Performance: W03 Assignment: Next.js Application</t>
        </is>
      </c>
      <c r="N15" s="1" t="inlineStr">
        <is>
          <t>Provide Positive Feedback on W03 Assignment: Next.js Application</t>
        </is>
      </c>
    </row>
    <row r="16">
      <c r="A16" s="1" t="inlineStr">
        <is>
          <t>WDD430</t>
        </is>
      </c>
      <c r="B16" s="1" t="inlineStr">
        <is>
          <t>Low Performance</t>
        </is>
      </c>
      <c r="C16" s="1" t="inlineStr">
        <is>
          <t>W03 Assignment: Next.js Application</t>
        </is>
      </c>
      <c r="D16" s="23" t="n">
        <v>4</v>
      </c>
      <c r="E16" s="23" t="n">
        <v>5</v>
      </c>
      <c r="F16" s="1" t="n">
        <v>10</v>
      </c>
      <c r="G16" s="2" t="n">
        <v>0.7</v>
      </c>
      <c r="H16" s="2" t="inlineStr">
        <is>
          <t>y</t>
        </is>
      </c>
      <c r="I16" s="26">
        <f>DATE(YEAR(Setup!$C$4),MONTH(Setup!$C$4),DAY(Setup!$C$4)+((D16-1)*7)+(E16-WEEKDAY(DATE(YEAR(Setup!$C$4),MONTH(Setup!$C$4),DAY(Setup!$C$4)),1)))</f>
        <v/>
      </c>
      <c r="J16" s="26">
        <f>I16+3</f>
        <v/>
      </c>
      <c r="K16" s="26">
        <f>(I16 + (7 - WEEKDAY(I16,1))) + 1</f>
        <v/>
      </c>
      <c r="L16" s="23">
        <f>F16*G16</f>
        <v/>
      </c>
      <c r="M16" s="1" t="inlineStr">
        <is>
          <t>Low Performance: W03 Assignment: Next.js Application</t>
        </is>
      </c>
      <c r="N16" s="1" t="inlineStr">
        <is>
          <t xml:space="preserve">At Risk W03 Assignment: Next.js Application. Student scored below 70% on . Check in to see how you can help. </t>
        </is>
      </c>
    </row>
    <row r="17" ht="15.95" customHeight="1">
      <c r="A17" s="1" t="inlineStr">
        <is>
          <t>WDD430</t>
        </is>
      </c>
      <c r="B17" s="1" t="inlineStr">
        <is>
          <t>Missing Assignment</t>
        </is>
      </c>
      <c r="C17" s="3" t="inlineStr">
        <is>
          <t>W04 Peer Review with Feedback</t>
        </is>
      </c>
      <c r="D17" s="23" t="n">
        <v>5</v>
      </c>
      <c r="E17" s="23" t="n">
        <v>2</v>
      </c>
      <c r="F17" s="1" t="n">
        <v>25</v>
      </c>
      <c r="G17" s="2" t="n"/>
      <c r="H17" s="2" t="inlineStr">
        <is>
          <t>y</t>
        </is>
      </c>
      <c r="I17" s="26">
        <f>DATE(YEAR(Setup!$C$4),MONTH(Setup!$C$4),DAY(Setup!$C$4)+((D17-1)*7)+(E17-WEEKDAY(DATE(YEAR(Setup!$C$4),MONTH(Setup!$C$4),DAY(Setup!$C$4)),1)))</f>
        <v/>
      </c>
      <c r="J17" s="26">
        <f>I17+3</f>
        <v/>
      </c>
      <c r="K17" s="26">
        <f>(I17 + (7 - WEEKDAY(I17,1))) + 1</f>
        <v/>
      </c>
      <c r="L17" s="23">
        <f>F17*G17</f>
        <v/>
      </c>
      <c r="M17" s="1" t="inlineStr">
        <is>
          <t>Missing Assignment: W04 Peer Review with Feedback</t>
        </is>
      </c>
      <c r="N17" s="3" t="inlineStr">
        <is>
          <t>Check in with student missing W04 Peer Review with Feedback</t>
        </is>
      </c>
    </row>
    <row r="18" ht="15.95" customHeight="1">
      <c r="A18" s="1" t="inlineStr">
        <is>
          <t>WDD430</t>
        </is>
      </c>
      <c r="B18" s="1" t="inlineStr">
        <is>
          <t>Grader-Issued 0</t>
        </is>
      </c>
      <c r="C18" s="3" t="inlineStr">
        <is>
          <t>W04 Peer Review with Feedback</t>
        </is>
      </c>
      <c r="D18" s="23" t="n">
        <v>5</v>
      </c>
      <c r="E18" s="23" t="n">
        <v>4</v>
      </c>
      <c r="F18" s="1" t="n">
        <v>25</v>
      </c>
      <c r="G18" s="2" t="n"/>
      <c r="H18" s="2" t="inlineStr">
        <is>
          <t>y</t>
        </is>
      </c>
      <c r="I18" s="26">
        <f>DATE(YEAR(Setup!$C$4),MONTH(Setup!$C$4),DAY(Setup!$C$4)+((D18-1)*7)+(E18-WEEKDAY(DATE(YEAR(Setup!$C$4),MONTH(Setup!$C$4),DAY(Setup!$C$4)),1)))</f>
        <v/>
      </c>
      <c r="J18" s="26">
        <f>I18+3</f>
        <v/>
      </c>
      <c r="K18" s="26">
        <f>(I18 + (7 - WEEKDAY(I18,1))) + 1</f>
        <v/>
      </c>
      <c r="L18" s="23">
        <f>F18*G18</f>
        <v/>
      </c>
      <c r="M18" s="1" t="inlineStr">
        <is>
          <t>The student was given a Grader issued 0 on W04 Peer Review with Feedback</t>
        </is>
      </c>
      <c r="N18" s="68" t="inlineStr">
        <is>
          <t>Grader issued 0 for W04 Peer Review with Feedback. Log into Canvas and see the grader comments. Work with the student to help resubmit.</t>
        </is>
      </c>
    </row>
    <row r="19" customFormat="1" s="79">
      <c r="A19" s="1" t="inlineStr">
        <is>
          <t>WDD430</t>
        </is>
      </c>
      <c r="B19" s="1" t="inlineStr">
        <is>
          <t>Scheduled - Classwide</t>
        </is>
      </c>
      <c r="C19" s="1" t="inlineStr">
        <is>
          <t>Registration Reminder 1</t>
        </is>
      </c>
      <c r="D19" s="23" t="n">
        <v>5</v>
      </c>
      <c r="E19" s="23" t="n">
        <v>4</v>
      </c>
      <c r="F19" s="1" t="n"/>
      <c r="G19" s="2" t="n"/>
      <c r="H19" s="2" t="inlineStr">
        <is>
          <t>y</t>
        </is>
      </c>
      <c r="I19" s="26">
        <f>DATE(YEAR(Setup!$C$4),MONTH(Setup!$C$4),DAY(Setup!$C$4)+((D19-1)*7)+(E19-WEEKDAY(DATE(YEAR(Setup!$C$4),MONTH(Setup!$C$4),DAY(Setup!$C$4)),1)))</f>
        <v/>
      </c>
      <c r="J19" s="26">
        <f>I19+3</f>
        <v/>
      </c>
      <c r="K19" s="26">
        <f>(I19 + (7 - WEEKDAY(I19,1))) + 1</f>
        <v/>
      </c>
      <c r="L19" s="23">
        <f>F19*G19</f>
        <v/>
      </c>
      <c r="M19" s="1" t="inlineStr">
        <is>
          <t>Registration Reminder 1</t>
        </is>
      </c>
      <c r="N19" s="43" t="inlineStr">
        <is>
          <t>Send a message to all students, reminding them that registration for the next block is now open and encouraging them to go and take action.</t>
        </is>
      </c>
    </row>
    <row r="20" ht="15.95" customFormat="1" customHeight="1" s="79">
      <c r="A20" s="1" t="inlineStr">
        <is>
          <t>WDD430</t>
        </is>
      </c>
      <c r="B20" s="1" t="inlineStr">
        <is>
          <t>High Performance</t>
        </is>
      </c>
      <c r="C20" s="3" t="inlineStr">
        <is>
          <t>W04 Peer Review with Feedback</t>
        </is>
      </c>
      <c r="D20" s="23" t="n">
        <v>5</v>
      </c>
      <c r="E20" s="23" t="n">
        <v>5</v>
      </c>
      <c r="F20" s="1" t="n">
        <v>25</v>
      </c>
      <c r="G20" s="2" t="n">
        <v>0.9</v>
      </c>
      <c r="H20" s="2" t="inlineStr">
        <is>
          <t>y</t>
        </is>
      </c>
      <c r="I20" s="26">
        <f>DATE(YEAR(Setup!$C$4),MONTH(Setup!$C$4),DAY(Setup!$C$4)+((D20-1)*7)+(E20-WEEKDAY(DATE(YEAR(Setup!$C$4),MONTH(Setup!$C$4),DAY(Setup!$C$4)),1)))</f>
        <v/>
      </c>
      <c r="J20" s="26">
        <f>I20+3</f>
        <v/>
      </c>
      <c r="K20" s="26">
        <f>(I20 + (7 - WEEKDAY(I20,1))) + 1</f>
        <v/>
      </c>
      <c r="L20" s="23">
        <f>F20*G20</f>
        <v/>
      </c>
      <c r="M20" s="1" t="inlineStr">
        <is>
          <t>High Performance: W04 Peer Review with Feedback</t>
        </is>
      </c>
      <c r="N20" s="3" t="inlineStr">
        <is>
          <t>Provide Positive Feedback on W04 Peer Review with Feedback</t>
        </is>
      </c>
    </row>
    <row r="21" ht="15.95" customFormat="1" customHeight="1" s="79">
      <c r="A21" s="1" t="inlineStr">
        <is>
          <t>WDD430</t>
        </is>
      </c>
      <c r="B21" s="1" t="inlineStr">
        <is>
          <t>Low Performance</t>
        </is>
      </c>
      <c r="C21" s="3" t="inlineStr">
        <is>
          <t>W04 Peer Review with Feedback</t>
        </is>
      </c>
      <c r="D21" s="23" t="n">
        <v>5</v>
      </c>
      <c r="E21" s="23" t="n">
        <v>5</v>
      </c>
      <c r="F21" s="1" t="n">
        <v>25</v>
      </c>
      <c r="G21" s="2" t="n">
        <v>0.7</v>
      </c>
      <c r="H21" s="2" t="inlineStr">
        <is>
          <t>y</t>
        </is>
      </c>
      <c r="I21" s="26">
        <f>DATE(YEAR(Setup!$C$4),MONTH(Setup!$C$4),DAY(Setup!$C$4)+((D21-1)*7)+(E21-WEEKDAY(DATE(YEAR(Setup!$C$4),MONTH(Setup!$C$4),DAY(Setup!$C$4)),1)))</f>
        <v/>
      </c>
      <c r="J21" s="26">
        <f>I21+3</f>
        <v/>
      </c>
      <c r="K21" s="26">
        <f>(I21 + (7 - WEEKDAY(I21,1))) + 1</f>
        <v/>
      </c>
      <c r="L21" s="23">
        <f>F21*G21</f>
        <v/>
      </c>
      <c r="M21" s="1" t="inlineStr">
        <is>
          <t>Low Performance: W04 Peer Review with Feedback</t>
        </is>
      </c>
      <c r="N21" s="3" t="inlineStr">
        <is>
          <t xml:space="preserve">At Risk. Student scored below 70% on W04 Peer Review with Feedback. Check in to see how you can help. </t>
        </is>
      </c>
    </row>
    <row r="22" customFormat="1" s="79">
      <c r="A22" s="1" t="inlineStr">
        <is>
          <t>WDD430</t>
        </is>
      </c>
      <c r="B22" s="1" t="inlineStr">
        <is>
          <t>Missing Assignment</t>
        </is>
      </c>
      <c r="C22" s="1" t="inlineStr">
        <is>
          <t>W05 Assignment: Team Project Checkpoint</t>
        </is>
      </c>
      <c r="D22" s="23" t="n">
        <v>6</v>
      </c>
      <c r="E22" s="23" t="n">
        <v>2</v>
      </c>
      <c r="F22" s="1" t="n">
        <v>10</v>
      </c>
      <c r="G22" s="2" t="n"/>
      <c r="H22" s="2" t="inlineStr">
        <is>
          <t>y</t>
        </is>
      </c>
      <c r="I22" s="26">
        <f>DATE(YEAR(Setup!$C$4),MONTH(Setup!$C$4),DAY(Setup!$C$4)+((D22-1)*7)+(E22-WEEKDAY(DATE(YEAR(Setup!$C$4),MONTH(Setup!$C$4),DAY(Setup!$C$4)),1)))</f>
        <v/>
      </c>
      <c r="J22" s="26">
        <f>I22+3</f>
        <v/>
      </c>
      <c r="K22" s="26">
        <f>(I22 + (7 - WEEKDAY(I22,1))) + 1</f>
        <v/>
      </c>
      <c r="L22" s="23">
        <f>F22*G22</f>
        <v/>
      </c>
      <c r="M22" s="1" t="inlineStr">
        <is>
          <t>Missing Assignment: W05 Assignment: Team Project Checkpoint</t>
        </is>
      </c>
      <c r="N22" s="1" t="inlineStr">
        <is>
          <t>Check in with student missing W05 Assignment: Team Project Checkpoint</t>
        </is>
      </c>
    </row>
    <row r="23">
      <c r="A23" s="1" t="inlineStr">
        <is>
          <t>WDD430</t>
        </is>
      </c>
      <c r="B23" s="1" t="inlineStr">
        <is>
          <t>Grader-Issued 0</t>
        </is>
      </c>
      <c r="C23" s="1" t="inlineStr">
        <is>
          <t>W05 Assignment: Team Project Checkpoint</t>
        </is>
      </c>
      <c r="D23" s="23" t="n">
        <v>6</v>
      </c>
      <c r="E23" s="23" t="n">
        <v>4</v>
      </c>
      <c r="F23" s="1" t="n">
        <v>10</v>
      </c>
      <c r="G23" s="2" t="n"/>
      <c r="H23" s="2" t="inlineStr">
        <is>
          <t>y</t>
        </is>
      </c>
      <c r="I23" s="26">
        <f>DATE(YEAR(Setup!$C$4),MONTH(Setup!$C$4),DAY(Setup!$C$4)+((D23-1)*7)+(E23-WEEKDAY(DATE(YEAR(Setup!$C$4),MONTH(Setup!$C$4),DAY(Setup!$C$4)),1)))</f>
        <v/>
      </c>
      <c r="J23" s="26">
        <f>I23+3</f>
        <v/>
      </c>
      <c r="K23" s="26">
        <f>(I23 + (7 - WEEKDAY(I23,1))) + 1</f>
        <v/>
      </c>
      <c r="L23" s="23">
        <f>F23*G23</f>
        <v/>
      </c>
      <c r="M23" s="1" t="inlineStr">
        <is>
          <t>The student was given a Grader issued 0 on W05 Assignment: Team Project Checkpoint</t>
        </is>
      </c>
      <c r="N23" s="44" t="inlineStr">
        <is>
          <t>Grader issued 0 for W05 Assignment: Team Project Checkpoint. Log into Canvas and see the grader comments. Work with the student to help resubmit.</t>
        </is>
      </c>
    </row>
    <row r="24">
      <c r="A24" s="1" t="inlineStr">
        <is>
          <t>WDD430</t>
        </is>
      </c>
      <c r="B24" s="1" t="inlineStr">
        <is>
          <t>High Performance</t>
        </is>
      </c>
      <c r="C24" s="1" t="inlineStr">
        <is>
          <t>W05 Assignment: Team Project Checkpoint</t>
        </is>
      </c>
      <c r="D24" s="23" t="n">
        <v>6</v>
      </c>
      <c r="E24" s="23" t="n">
        <v>5</v>
      </c>
      <c r="F24" s="1" t="n">
        <v>10</v>
      </c>
      <c r="G24" s="2" t="n">
        <v>0.9</v>
      </c>
      <c r="H24" s="2" t="inlineStr">
        <is>
          <t>y</t>
        </is>
      </c>
      <c r="I24" s="26">
        <f>DATE(YEAR(Setup!$C$4),MONTH(Setup!$C$4),DAY(Setup!$C$4)+((D24-1)*7)+(E24-WEEKDAY(DATE(YEAR(Setup!$C$4),MONTH(Setup!$C$4),DAY(Setup!$C$4)),1)))</f>
        <v/>
      </c>
      <c r="J24" s="26">
        <f>I24+3</f>
        <v/>
      </c>
      <c r="K24" s="26">
        <f>(I24 + (7 - WEEKDAY(I24,1))) + 1</f>
        <v/>
      </c>
      <c r="L24" s="23">
        <f>F24*G24</f>
        <v/>
      </c>
      <c r="M24" s="1" t="inlineStr">
        <is>
          <t>High Performance: W05 Assignment: Team Project Checkpoint</t>
        </is>
      </c>
      <c r="N24" s="1" t="inlineStr">
        <is>
          <t>Provide Positive Feedback on W05 Assignment: Team Project Checkpoint</t>
        </is>
      </c>
    </row>
    <row r="25">
      <c r="A25" s="1" t="inlineStr">
        <is>
          <t>WDD430</t>
        </is>
      </c>
      <c r="B25" s="1" t="inlineStr">
        <is>
          <t>Low Performance</t>
        </is>
      </c>
      <c r="C25" s="1" t="inlineStr">
        <is>
          <t>W05 Assignment: Team Project Checkpoint</t>
        </is>
      </c>
      <c r="D25" s="23" t="n">
        <v>6</v>
      </c>
      <c r="E25" s="23" t="n">
        <v>5</v>
      </c>
      <c r="F25" s="1" t="n">
        <v>10</v>
      </c>
      <c r="G25" s="2" t="n">
        <v>0.7</v>
      </c>
      <c r="H25" s="2" t="inlineStr">
        <is>
          <t>y</t>
        </is>
      </c>
      <c r="I25" s="26">
        <f>DATE(YEAR(Setup!$C$4),MONTH(Setup!$C$4),DAY(Setup!$C$4)+((D25-1)*7)+(E25-WEEKDAY(DATE(YEAR(Setup!$C$4),MONTH(Setup!$C$4),DAY(Setup!$C$4)),1)))</f>
        <v/>
      </c>
      <c r="J25" s="26">
        <f>I25+3</f>
        <v/>
      </c>
      <c r="K25" s="26">
        <f>(I25 + (7 - WEEKDAY(I25,1))) + 1</f>
        <v/>
      </c>
      <c r="L25" s="23">
        <f>F25*G25</f>
        <v/>
      </c>
      <c r="M25" s="1" t="inlineStr">
        <is>
          <t>Low Performance: W05 Assignment: Team Project Checkpoint</t>
        </is>
      </c>
      <c r="N25" s="1" t="inlineStr">
        <is>
          <t xml:space="preserve">At Risk. Student scored below 70% on W05 Assignment: Team Project Checkpoint. Check in to see how you can help. </t>
        </is>
      </c>
    </row>
    <row r="26">
      <c r="A26" s="1" t="inlineStr">
        <is>
          <t>WDD430</t>
        </is>
      </c>
      <c r="B26" s="1" t="inlineStr">
        <is>
          <t>Scheduled - Classwide</t>
        </is>
      </c>
      <c r="C26" s="1" t="inlineStr">
        <is>
          <t>Registration Reminder 2</t>
        </is>
      </c>
      <c r="D26" s="23" t="n">
        <v>7</v>
      </c>
      <c r="E26" s="23" t="n">
        <v>1</v>
      </c>
      <c r="G26" s="2" t="n"/>
      <c r="H26" s="2" t="inlineStr">
        <is>
          <t>y</t>
        </is>
      </c>
      <c r="I26" s="26">
        <f>DATE(YEAR(Setup!$C$4),MONTH(Setup!$C$4),DAY(Setup!$C$4)+((D26-1)*7)+(E26-WEEKDAY(DATE(YEAR(Setup!$C$4),MONTH(Setup!$C$4),DAY(Setup!$C$4)),1)))</f>
        <v/>
      </c>
      <c r="J26" s="26">
        <f>I26+3</f>
        <v/>
      </c>
      <c r="K26" s="26">
        <f>(I26 + (7 - WEEKDAY(I26,1))) + 1</f>
        <v/>
      </c>
      <c r="L26" s="23">
        <f>F26*G26</f>
        <v/>
      </c>
      <c r="M26" s="1" t="inlineStr">
        <is>
          <t>Registration Reminder 2</t>
        </is>
      </c>
      <c r="N26" s="43" t="inlineStr">
        <is>
          <t>Send a message to all students, reminding them that registration for the next block is still open, but will be closing soon. Encourage them to go in and register as soon as possible.</t>
        </is>
      </c>
    </row>
    <row r="27">
      <c r="A27" s="1" t="inlineStr">
        <is>
          <t>WDD430</t>
        </is>
      </c>
      <c r="B27" s="1" t="inlineStr">
        <is>
          <t>Scheduled - Classwide</t>
        </is>
      </c>
      <c r="C27" s="1" t="inlineStr">
        <is>
          <t>End of Block Reminder</t>
        </is>
      </c>
      <c r="D27" s="23" t="n">
        <v>7</v>
      </c>
      <c r="E27" s="23" t="n">
        <v>2</v>
      </c>
      <c r="G27" s="2" t="n"/>
      <c r="H27" s="2" t="inlineStr">
        <is>
          <t>y</t>
        </is>
      </c>
      <c r="I27" s="26">
        <f>DATE(YEAR(Setup!$C$4),MONTH(Setup!$C$4),DAY(Setup!$C$4)+((D27-1)*7)+(E27-WEEKDAY(DATE(YEAR(Setup!$C$4),MONTH(Setup!$C$4),DAY(Setup!$C$4)),1)))</f>
        <v/>
      </c>
      <c r="J27" s="26">
        <f>I27+3</f>
        <v/>
      </c>
      <c r="K27" s="26">
        <f>(I27 + (7 - WEEKDAY(I27,1))) + 1</f>
        <v/>
      </c>
      <c r="L27" s="23">
        <f>F27*G27</f>
        <v/>
      </c>
      <c r="M27" s="1" t="inlineStr">
        <is>
          <t>End of Block Reminder</t>
        </is>
      </c>
      <c r="N27" s="44" t="inlineStr">
        <is>
          <t>Remind Students the course will be closing, submit assignments by deadline, complete End-of-Course Evaluation</t>
        </is>
      </c>
    </row>
    <row r="28">
      <c r="G28" s="2" t="n"/>
      <c r="H28" s="2" t="n"/>
      <c r="I28" s="26">
        <f>DATE(YEAR(Setup!$C$4),MONTH(Setup!$C$4),DAY(Setup!$C$4)+((D28-1)*7)+(E28-WEEKDAY(DATE(YEAR(Setup!$C$4),MONTH(Setup!$C$4),DAY(Setup!$C$4)),1)))</f>
        <v/>
      </c>
      <c r="J28" s="26">
        <f>I28+3</f>
        <v/>
      </c>
      <c r="K28" s="26">
        <f>(I28 + (7 - WEEKDAY(I28,1))) + 1</f>
        <v/>
      </c>
      <c r="L28" s="23">
        <f>F28*G28</f>
        <v/>
      </c>
    </row>
    <row r="29">
      <c r="B29" s="3" t="n"/>
      <c r="G29" s="2" t="n"/>
      <c r="H29" s="2" t="n"/>
      <c r="I29" s="26">
        <f>DATE(YEAR(Setup!$C$4),MONTH(Setup!$C$4),DAY(Setup!$C$4)+((D29-1)*7)+(E29-WEEKDAY(DATE(YEAR(Setup!$C$4),MONTH(Setup!$C$4),DAY(Setup!$C$4)),1)))</f>
        <v/>
      </c>
      <c r="J29" s="26">
        <f>I29+3</f>
        <v/>
      </c>
      <c r="K29" s="26">
        <f>(I29 + (7 - WEEKDAY(I29,1))) + 1</f>
        <v/>
      </c>
      <c r="L29" s="23">
        <f>F29*G29</f>
        <v/>
      </c>
    </row>
    <row r="30">
      <c r="G30" s="2" t="n"/>
      <c r="H30" s="2" t="n"/>
      <c r="I30" s="26">
        <f>DATE(YEAR(Setup!$C$4),MONTH(Setup!$C$4),DAY(Setup!$C$4)+((D30-1)*7)+(E30-WEEKDAY(DATE(YEAR(Setup!$C$4),MONTH(Setup!$C$4),DAY(Setup!$C$4)),1)))</f>
        <v/>
      </c>
      <c r="J30" s="26">
        <f>I30+3</f>
        <v/>
      </c>
      <c r="K30" s="26">
        <f>(I30 + (7 - WEEKDAY(I30,1))) + 1</f>
        <v/>
      </c>
      <c r="L30" s="23">
        <f>F30*G30</f>
        <v/>
      </c>
    </row>
    <row r="31">
      <c r="G31" s="2" t="n"/>
      <c r="H31" s="2" t="n"/>
      <c r="I31" s="26">
        <f>DATE(YEAR(Setup!$C$4),MONTH(Setup!$C$4),DAY(Setup!$C$4)+((D31-1)*7)+(E31-WEEKDAY(DATE(YEAR(Setup!$C$4),MONTH(Setup!$C$4),DAY(Setup!$C$4)),1)))</f>
        <v/>
      </c>
      <c r="J31" s="26">
        <f>I31+3</f>
        <v/>
      </c>
      <c r="K31" s="26">
        <f>(I31 + (7 - WEEKDAY(I31,1))) + 1</f>
        <v/>
      </c>
      <c r="L31" s="23">
        <f>F31*G31</f>
        <v/>
      </c>
    </row>
    <row r="32">
      <c r="G32" s="2" t="n"/>
      <c r="H32" s="2" t="n"/>
      <c r="I32" s="26">
        <f>DATE(YEAR(Setup!$C$4),MONTH(Setup!$C$4),DAY(Setup!$C$4)+((D32-1)*7)+(E32-WEEKDAY(DATE(YEAR(Setup!$C$4),MONTH(Setup!$C$4),DAY(Setup!$C$4)),1)))</f>
        <v/>
      </c>
      <c r="J32" s="26">
        <f>I32+3</f>
        <v/>
      </c>
      <c r="K32" s="26">
        <f>(I32 + (7 - WEEKDAY(I32,1))) + 1</f>
        <v/>
      </c>
      <c r="L32" s="23">
        <f>F32*G32</f>
        <v/>
      </c>
    </row>
    <row r="33">
      <c r="G33" s="2" t="n"/>
      <c r="H33" s="2" t="n"/>
      <c r="I33" s="26">
        <f>DATE(YEAR(Setup!$C$4),MONTH(Setup!$C$4),DAY(Setup!$C$4)+((D33-1)*7)+(E33-WEEKDAY(DATE(YEAR(Setup!$C$4),MONTH(Setup!$C$4),DAY(Setup!$C$4)),1)))</f>
        <v/>
      </c>
      <c r="J33" s="26">
        <f>I33+3</f>
        <v/>
      </c>
      <c r="K33" s="26">
        <f>(I33 + (7 - WEEKDAY(I33,1))) + 1</f>
        <v/>
      </c>
      <c r="L33" s="23">
        <f>F33*G33</f>
        <v/>
      </c>
    </row>
    <row r="34">
      <c r="G34" s="2" t="n"/>
      <c r="H34" s="2" t="n"/>
      <c r="I34" s="26">
        <f>DATE(YEAR(Setup!$C$4),MONTH(Setup!$C$4),DAY(Setup!$C$4)+((D34-1)*7)+(E34-WEEKDAY(DATE(YEAR(Setup!$C$4),MONTH(Setup!$C$4),DAY(Setup!$C$4)),1)))</f>
        <v/>
      </c>
      <c r="J34" s="26">
        <f>I34+3</f>
        <v/>
      </c>
      <c r="K34" s="26">
        <f>(I34 + (7 - WEEKDAY(I34,1))) + 1</f>
        <v/>
      </c>
      <c r="L34" s="23">
        <f>F34*G34</f>
        <v/>
      </c>
    </row>
    <row r="35">
      <c r="G35" s="2" t="n"/>
      <c r="H35" s="2" t="n"/>
      <c r="I35" s="26">
        <f>DATE(YEAR(Setup!$C$4),MONTH(Setup!$C$4),DAY(Setup!$C$4)+((D35-1)*7)+(E35-WEEKDAY(DATE(YEAR(Setup!$C$4),MONTH(Setup!$C$4),DAY(Setup!$C$4)),1)))</f>
        <v/>
      </c>
      <c r="J35" s="26">
        <f>I35+3</f>
        <v/>
      </c>
      <c r="K35" s="26">
        <f>(I35 + (7 - WEEKDAY(I35,1))) + 1</f>
        <v/>
      </c>
      <c r="L35" s="23">
        <f>F35*G35</f>
        <v/>
      </c>
    </row>
    <row r="36">
      <c r="G36" s="2" t="n"/>
      <c r="H36" s="2" t="n"/>
      <c r="I36" s="26">
        <f>DATE(YEAR(Setup!$C$4),MONTH(Setup!$C$4),DAY(Setup!$C$4)+((D36-1)*7)+(E36-WEEKDAY(DATE(YEAR(Setup!$C$4),MONTH(Setup!$C$4),DAY(Setup!$C$4)),1)))</f>
        <v/>
      </c>
      <c r="J36" s="26">
        <f>I36+3</f>
        <v/>
      </c>
      <c r="K36" s="26">
        <f>(I36 + (7 - WEEKDAY(I36,1))) + 1</f>
        <v/>
      </c>
      <c r="L36" s="23">
        <f>F36*G36</f>
        <v/>
      </c>
    </row>
    <row r="37">
      <c r="G37" s="2" t="n"/>
      <c r="H37" s="2" t="n"/>
      <c r="I37" s="26">
        <f>DATE(YEAR(Setup!$C$4),MONTH(Setup!$C$4),DAY(Setup!$C$4)+((D37-1)*7)+(E37-WEEKDAY(DATE(YEAR(Setup!$C$4),MONTH(Setup!$C$4),DAY(Setup!$C$4)),1)))</f>
        <v/>
      </c>
      <c r="J37" s="26">
        <f>I37+3</f>
        <v/>
      </c>
      <c r="K37" s="26">
        <f>(I37 + (7 - WEEKDAY(I37,1))) + 1</f>
        <v/>
      </c>
      <c r="L37" s="23">
        <f>F37*G37</f>
        <v/>
      </c>
    </row>
    <row r="38">
      <c r="G38" s="2" t="n"/>
      <c r="H38" s="2" t="n"/>
      <c r="I38" s="26">
        <f>DATE(YEAR(Setup!$C$4),MONTH(Setup!$C$4),DAY(Setup!$C$4)+((D38-1)*7)+(E38-WEEKDAY(DATE(YEAR(Setup!$C$4),MONTH(Setup!$C$4),DAY(Setup!$C$4)),1)))</f>
        <v/>
      </c>
      <c r="J38" s="26">
        <f>I38+3</f>
        <v/>
      </c>
      <c r="K38" s="26">
        <f>(I38 + (7 - WEEKDAY(I38,1))) + 1</f>
        <v/>
      </c>
      <c r="L38" s="23">
        <f>F38*G38</f>
        <v/>
      </c>
    </row>
    <row r="39">
      <c r="G39" s="2" t="n"/>
      <c r="H39" s="2" t="n"/>
      <c r="I39" s="26">
        <f>DATE(YEAR(Setup!$C$4),MONTH(Setup!$C$4),DAY(Setup!$C$4)+((D39-1)*7)+(E39-WEEKDAY(DATE(YEAR(Setup!$C$4),MONTH(Setup!$C$4),DAY(Setup!$C$4)),1)))</f>
        <v/>
      </c>
      <c r="J39" s="26">
        <f>I39+3</f>
        <v/>
      </c>
      <c r="K39" s="26">
        <f>(I39 + (7 - WEEKDAY(I39,1))) + 1</f>
        <v/>
      </c>
      <c r="L39" s="23">
        <f>F39*G39</f>
        <v/>
      </c>
    </row>
    <row r="40">
      <c r="G40" s="2" t="n"/>
      <c r="H40" s="2" t="n"/>
      <c r="I40" s="26">
        <f>DATE(YEAR(Setup!$C$4),MONTH(Setup!$C$4),DAY(Setup!$C$4)+((D40-1)*7)+(E40-WEEKDAY(DATE(YEAR(Setup!$C$4),MONTH(Setup!$C$4),DAY(Setup!$C$4)),1)))</f>
        <v/>
      </c>
      <c r="J40" s="26">
        <f>I40+3</f>
        <v/>
      </c>
      <c r="K40" s="26">
        <f>(I40 + (7 - WEEKDAY(I40,1))) + 1</f>
        <v/>
      </c>
      <c r="L40" s="23">
        <f>F40*G40</f>
        <v/>
      </c>
    </row>
    <row r="41">
      <c r="G41" s="2" t="n"/>
      <c r="H41" s="2" t="n"/>
      <c r="I41" s="26">
        <f>DATE(YEAR(Setup!$C$4),MONTH(Setup!$C$4),DAY(Setup!$C$4)+((D41-1)*7)+(E41-WEEKDAY(DATE(YEAR(Setup!$C$4),MONTH(Setup!$C$4),DAY(Setup!$C$4)),1)))</f>
        <v/>
      </c>
      <c r="J41" s="26">
        <f>I41+3</f>
        <v/>
      </c>
      <c r="K41" s="26">
        <f>(I41 + (7 - WEEKDAY(I41,1))) + 1</f>
        <v/>
      </c>
      <c r="L41" s="23">
        <f>F41*G41</f>
        <v/>
      </c>
    </row>
    <row r="42">
      <c r="G42" s="2" t="n"/>
      <c r="H42" s="2" t="n"/>
      <c r="I42" s="26">
        <f>DATE(YEAR(Setup!$C$4),MONTH(Setup!$C$4),DAY(Setup!$C$4)+((D42-1)*7)+(E42-WEEKDAY(DATE(YEAR(Setup!$C$4),MONTH(Setup!$C$4),DAY(Setup!$C$4)),1)))</f>
        <v/>
      </c>
      <c r="J42" s="26">
        <f>I42+3</f>
        <v/>
      </c>
      <c r="K42" s="26">
        <f>(I42 + (7 - WEEKDAY(I42,1))) + 1</f>
        <v/>
      </c>
      <c r="L42" s="23">
        <f>F42*G42</f>
        <v/>
      </c>
    </row>
    <row r="43">
      <c r="G43" s="2" t="n"/>
      <c r="H43" s="2" t="n"/>
      <c r="I43" s="26">
        <f>DATE(YEAR(Setup!$C$4),MONTH(Setup!$C$4),DAY(Setup!$C$4)+((D43-1)*7)+(E43-WEEKDAY(DATE(YEAR(Setup!$C$4),MONTH(Setup!$C$4),DAY(Setup!$C$4)),1)))</f>
        <v/>
      </c>
      <c r="J43" s="26">
        <f>I43+3</f>
        <v/>
      </c>
      <c r="K43" s="26">
        <f>(I43 + (7 - WEEKDAY(I43,1))) + 1</f>
        <v/>
      </c>
      <c r="L43" s="23">
        <f>F43*G43</f>
        <v/>
      </c>
    </row>
    <row r="44">
      <c r="G44" s="2" t="n"/>
      <c r="H44" s="2" t="n"/>
      <c r="I44" s="26">
        <f>DATE(YEAR(Setup!$C$4),MONTH(Setup!$C$4),DAY(Setup!$C$4)+((D44-1)*7)+(E44-WEEKDAY(DATE(YEAR(Setup!$C$4),MONTH(Setup!$C$4),DAY(Setup!$C$4)),1)))</f>
        <v/>
      </c>
      <c r="J44" s="26">
        <f>I44+3</f>
        <v/>
      </c>
      <c r="K44" s="26">
        <f>(I44 + (7 - WEEKDAY(I44,1))) + 1</f>
        <v/>
      </c>
      <c r="L44" s="23">
        <f>F44*G44</f>
        <v/>
      </c>
    </row>
    <row r="45">
      <c r="G45" s="2" t="n"/>
      <c r="H45" s="2" t="n"/>
      <c r="I45" s="26">
        <f>DATE(YEAR(Setup!$C$4),MONTH(Setup!$C$4),DAY(Setup!$C$4)+((D45-1)*7)+(E45-WEEKDAY(DATE(YEAR(Setup!$C$4),MONTH(Setup!$C$4),DAY(Setup!$C$4)),1)))</f>
        <v/>
      </c>
      <c r="J45" s="26">
        <f>I45+3</f>
        <v/>
      </c>
      <c r="K45" s="26">
        <f>(I45 + (7 - WEEKDAY(I45,1))) + 1</f>
        <v/>
      </c>
      <c r="L45" s="23">
        <f>F45*G45</f>
        <v/>
      </c>
    </row>
    <row r="46">
      <c r="G46" s="2" t="n"/>
      <c r="H46" s="2" t="n"/>
      <c r="I46" s="26">
        <f>DATE(YEAR(Setup!$C$4),MONTH(Setup!$C$4),DAY(Setup!$C$4)+((D46-1)*7)+(E46-WEEKDAY(DATE(YEAR(Setup!$C$4),MONTH(Setup!$C$4),DAY(Setup!$C$4)),1)))</f>
        <v/>
      </c>
      <c r="J46" s="26">
        <f>I46+3</f>
        <v/>
      </c>
      <c r="K46" s="26">
        <f>(I46 + (7 - WEEKDAY(I46,1))) + 1</f>
        <v/>
      </c>
      <c r="L46" s="23">
        <f>F46*G46</f>
        <v/>
      </c>
    </row>
    <row r="47">
      <c r="G47" s="2" t="n"/>
      <c r="H47" s="2" t="n"/>
      <c r="I47" s="26">
        <f>DATE(YEAR(Setup!$C$4),MONTH(Setup!$C$4),DAY(Setup!$C$4)+((D47-1)*7)+(E47-WEEKDAY(DATE(YEAR(Setup!$C$4),MONTH(Setup!$C$4),DAY(Setup!$C$4)),1)))</f>
        <v/>
      </c>
      <c r="J47" s="26">
        <f>I47+3</f>
        <v/>
      </c>
      <c r="K47" s="26">
        <f>(I47 + (7 - WEEKDAY(I47,1))) + 1</f>
        <v/>
      </c>
      <c r="L47" s="23">
        <f>F47*G47</f>
        <v/>
      </c>
    </row>
    <row r="48">
      <c r="G48" s="2" t="n"/>
      <c r="H48" s="2" t="n"/>
      <c r="I48" s="26">
        <f>DATE(YEAR(Setup!$C$4),MONTH(Setup!$C$4),DAY(Setup!$C$4)+((D48-1)*7)+(E48-WEEKDAY(DATE(YEAR(Setup!$C$4),MONTH(Setup!$C$4),DAY(Setup!$C$4)),1)))</f>
        <v/>
      </c>
      <c r="J48" s="26">
        <f>I48+3</f>
        <v/>
      </c>
      <c r="K48" s="26">
        <f>(I48 + (7 - WEEKDAY(I48,1))) + 1</f>
        <v/>
      </c>
      <c r="L48" s="23">
        <f>F48*G48</f>
        <v/>
      </c>
    </row>
    <row r="49">
      <c r="G49" s="2" t="n"/>
      <c r="H49" s="2" t="n"/>
      <c r="I49" s="26">
        <f>DATE(YEAR(Setup!$C$4),MONTH(Setup!$C$4),DAY(Setup!$C$4)+((D49-1)*7)+(E49-WEEKDAY(DATE(YEAR(Setup!$C$4),MONTH(Setup!$C$4),DAY(Setup!$C$4)),1)))</f>
        <v/>
      </c>
      <c r="J49" s="26">
        <f>I49+3</f>
        <v/>
      </c>
      <c r="K49" s="26">
        <f>(I49 + (7 - WEEKDAY(I49,1))) + 1</f>
        <v/>
      </c>
      <c r="L49" s="23">
        <f>F49*G49</f>
        <v/>
      </c>
    </row>
    <row r="50">
      <c r="G50" s="2" t="n"/>
      <c r="H50" s="2" t="n"/>
      <c r="I50" s="26">
        <f>DATE(YEAR(Setup!$C$4),MONTH(Setup!$C$4),DAY(Setup!$C$4)+((D50-1)*7)+(E50-WEEKDAY(DATE(YEAR(Setup!$C$4),MONTH(Setup!$C$4),DAY(Setup!$C$4)),1)))</f>
        <v/>
      </c>
      <c r="J50" s="26">
        <f>I50+3</f>
        <v/>
      </c>
      <c r="K50" s="26">
        <f>(I50 + (7 - WEEKDAY(I50,1))) + 1</f>
        <v/>
      </c>
      <c r="L50" s="23">
        <f>F50*G50</f>
        <v/>
      </c>
    </row>
    <row r="51">
      <c r="G51" s="2" t="n"/>
      <c r="H51" s="2" t="n"/>
      <c r="I51" s="26">
        <f>DATE(YEAR(Setup!$C$4),MONTH(Setup!$C$4),DAY(Setup!$C$4)+((D51-1)*7)+(E51-WEEKDAY(DATE(YEAR(Setup!$C$4),MONTH(Setup!$C$4),DAY(Setup!$C$4)),1)))</f>
        <v/>
      </c>
      <c r="J51" s="26">
        <f>I51+3</f>
        <v/>
      </c>
      <c r="K51" s="26">
        <f>(I51 + (7 - WEEKDAY(I51,1))) + 1</f>
        <v/>
      </c>
      <c r="L51" s="23">
        <f>F51*G51</f>
        <v/>
      </c>
    </row>
    <row r="52">
      <c r="G52" s="2" t="n"/>
      <c r="H52" s="2" t="n"/>
      <c r="I52" s="26">
        <f>DATE(YEAR(Setup!$C$4),MONTH(Setup!$C$4),DAY(Setup!$C$4)+((D52-1)*7)+(E52-WEEKDAY(DATE(YEAR(Setup!$C$4),MONTH(Setup!$C$4),DAY(Setup!$C$4)),1)))</f>
        <v/>
      </c>
      <c r="J52" s="26">
        <f>I52+3</f>
        <v/>
      </c>
      <c r="K52" s="26">
        <f>(I52 + (7 - WEEKDAY(I52,1))) + 1</f>
        <v/>
      </c>
      <c r="L52" s="23">
        <f>F52*G52</f>
        <v/>
      </c>
    </row>
    <row r="53">
      <c r="G53" s="2" t="n"/>
      <c r="H53" s="2" t="n"/>
      <c r="I53" s="26">
        <f>DATE(YEAR(Setup!$C$4),MONTH(Setup!$C$4),DAY(Setup!$C$4)+((D53-1)*7)+(E53-WEEKDAY(DATE(YEAR(Setup!$C$4),MONTH(Setup!$C$4),DAY(Setup!$C$4)),1)))</f>
        <v/>
      </c>
      <c r="J53" s="26">
        <f>I53+3</f>
        <v/>
      </c>
      <c r="K53" s="26">
        <f>(I53 + (7 - WEEKDAY(I53,1))) + 1</f>
        <v/>
      </c>
      <c r="L53" s="23">
        <f>F53*G53</f>
        <v/>
      </c>
    </row>
    <row r="54">
      <c r="G54" s="2" t="n"/>
      <c r="H54" s="2" t="n"/>
      <c r="I54" s="26">
        <f>DATE(YEAR(Setup!$C$4),MONTH(Setup!$C$4),DAY(Setup!$C$4)+((D54-1)*7)+(E54-WEEKDAY(DATE(YEAR(Setup!$C$4),MONTH(Setup!$C$4),DAY(Setup!$C$4)),1)))</f>
        <v/>
      </c>
      <c r="J54" s="26">
        <f>I54+3</f>
        <v/>
      </c>
      <c r="K54" s="26">
        <f>(I54 + (7 - WEEKDAY(I54,1))) + 1</f>
        <v/>
      </c>
      <c r="L54" s="23">
        <f>F54*G54</f>
        <v/>
      </c>
    </row>
    <row r="55">
      <c r="G55" s="2" t="n"/>
      <c r="H55" s="2" t="n"/>
      <c r="I55" s="26">
        <f>DATE(YEAR(Setup!$C$4),MONTH(Setup!$C$4),DAY(Setup!$C$4)+((D55-1)*7)+(E55-WEEKDAY(DATE(YEAR(Setup!$C$4),MONTH(Setup!$C$4),DAY(Setup!$C$4)),1)))</f>
        <v/>
      </c>
      <c r="J55" s="26">
        <f>I55+3</f>
        <v/>
      </c>
      <c r="K55" s="26">
        <f>(I55 + (7 - WEEKDAY(I55,1))) + 1</f>
        <v/>
      </c>
      <c r="L55" s="23">
        <f>F55*G55</f>
        <v/>
      </c>
    </row>
    <row r="56">
      <c r="G56" s="2" t="n"/>
      <c r="H56" s="2" t="n"/>
      <c r="I56" s="26">
        <f>DATE(YEAR(Setup!$C$4),MONTH(Setup!$C$4),DAY(Setup!$C$4)+((D56-1)*7)+(E56-WEEKDAY(DATE(YEAR(Setup!$C$4),MONTH(Setup!$C$4),DAY(Setup!$C$4)),1)))</f>
        <v/>
      </c>
      <c r="J56" s="26">
        <f>I56+3</f>
        <v/>
      </c>
      <c r="K56" s="26">
        <f>(I56 + (7 - WEEKDAY(I56,1))) + 1</f>
        <v/>
      </c>
      <c r="L56" s="23">
        <f>F56*G56</f>
        <v/>
      </c>
    </row>
    <row r="57">
      <c r="G57" s="2" t="n"/>
      <c r="H57" s="2" t="n"/>
      <c r="I57" s="26">
        <f>DATE(YEAR(Setup!$C$4),MONTH(Setup!$C$4),DAY(Setup!$C$4)+((D57-1)*7)+(E57-WEEKDAY(DATE(YEAR(Setup!$C$4),MONTH(Setup!$C$4),DAY(Setup!$C$4)),1)))</f>
        <v/>
      </c>
      <c r="J57" s="26">
        <f>I57+3</f>
        <v/>
      </c>
      <c r="K57" s="26">
        <f>(I57 + (7 - WEEKDAY(I57,1))) + 1</f>
        <v/>
      </c>
      <c r="L57" s="23">
        <f>F57*G57</f>
        <v/>
      </c>
    </row>
    <row r="58">
      <c r="G58" s="2" t="n"/>
      <c r="H58" s="2" t="n"/>
      <c r="I58" s="26">
        <f>DATE(YEAR(Setup!$C$4),MONTH(Setup!$C$4),DAY(Setup!$C$4)+((D58-1)*7)+(E58-WEEKDAY(DATE(YEAR(Setup!$C$4),MONTH(Setup!$C$4),DAY(Setup!$C$4)),1)))</f>
        <v/>
      </c>
      <c r="J58" s="26">
        <f>I58+3</f>
        <v/>
      </c>
      <c r="K58" s="26">
        <f>(I58 + (7 - WEEKDAY(I58,1))) + 1</f>
        <v/>
      </c>
      <c r="L58" s="23">
        <f>F58*G58</f>
        <v/>
      </c>
    </row>
    <row r="59">
      <c r="G59" s="2" t="n"/>
      <c r="H59" s="2" t="n"/>
      <c r="I59" s="26">
        <f>DATE(YEAR(Setup!$C$4),MONTH(Setup!$C$4),DAY(Setup!$C$4)+((D59-1)*7)+(E59-WEEKDAY(DATE(YEAR(Setup!$C$4),MONTH(Setup!$C$4),DAY(Setup!$C$4)),1)))</f>
        <v/>
      </c>
      <c r="J59" s="26">
        <f>I59+3</f>
        <v/>
      </c>
      <c r="K59" s="26">
        <f>(I59 + (7 - WEEKDAY(I59,1))) + 1</f>
        <v/>
      </c>
      <c r="L59" s="23">
        <f>F59*G59</f>
        <v/>
      </c>
    </row>
    <row r="60">
      <c r="G60" s="2" t="n"/>
      <c r="H60" s="2" t="n"/>
      <c r="I60" s="26">
        <f>DATE(YEAR(Setup!$C$4),MONTH(Setup!$C$4),DAY(Setup!$C$4)+((D60-1)*7)+(E60-WEEKDAY(DATE(YEAR(Setup!$C$4),MONTH(Setup!$C$4),DAY(Setup!$C$4)),1)))</f>
        <v/>
      </c>
      <c r="J60" s="26">
        <f>I60+3</f>
        <v/>
      </c>
      <c r="K60" s="26">
        <f>(I60 + (7 - WEEKDAY(I60,1))) + 1</f>
        <v/>
      </c>
      <c r="L60" s="23">
        <f>F60*G60</f>
        <v/>
      </c>
    </row>
    <row r="61">
      <c r="G61" s="2" t="n"/>
      <c r="H61" s="2" t="n"/>
      <c r="I61" s="26">
        <f>DATE(YEAR(Setup!$C$4),MONTH(Setup!$C$4),DAY(Setup!$C$4)+((D61-1)*7)+(E61-WEEKDAY(DATE(YEAR(Setup!$C$4),MONTH(Setup!$C$4),DAY(Setup!$C$4)),1)))</f>
        <v/>
      </c>
      <c r="J61" s="26">
        <f>I61+3</f>
        <v/>
      </c>
      <c r="K61" s="26">
        <f>(I61 + (7 - WEEKDAY(I61,1))) + 1</f>
        <v/>
      </c>
      <c r="L61" s="23">
        <f>F61*G61</f>
        <v/>
      </c>
    </row>
    <row r="62">
      <c r="G62" s="2" t="n"/>
      <c r="H62" s="2" t="n"/>
      <c r="I62" s="26">
        <f>DATE(YEAR(Setup!$C$4),MONTH(Setup!$C$4),DAY(Setup!$C$4)+((D62-1)*7)+(E62-WEEKDAY(DATE(YEAR(Setup!$C$4),MONTH(Setup!$C$4),DAY(Setup!$C$4)),1)))</f>
        <v/>
      </c>
      <c r="J62" s="26">
        <f>I62+3</f>
        <v/>
      </c>
      <c r="K62" s="26">
        <f>(I62 + (7 - WEEKDAY(I62,1))) + 1</f>
        <v/>
      </c>
      <c r="L62" s="23">
        <f>F62*G62</f>
        <v/>
      </c>
    </row>
    <row r="63">
      <c r="G63" s="2" t="n"/>
      <c r="H63" s="2" t="n"/>
      <c r="I63" s="26">
        <f>DATE(YEAR(Setup!$C$4),MONTH(Setup!$C$4),DAY(Setup!$C$4)+((D63-1)*7)+(E63-WEEKDAY(DATE(YEAR(Setup!$C$4),MONTH(Setup!$C$4),DAY(Setup!$C$4)),1)))</f>
        <v/>
      </c>
      <c r="J63" s="26">
        <f>I63+3</f>
        <v/>
      </c>
      <c r="K63" s="26">
        <f>(I63 + (7 - WEEKDAY(I63,1))) + 1</f>
        <v/>
      </c>
      <c r="L63" s="23">
        <f>F63*G63</f>
        <v/>
      </c>
    </row>
    <row r="64">
      <c r="G64" s="2" t="n"/>
      <c r="H64" s="2" t="n"/>
      <c r="I64" s="26">
        <f>DATE(YEAR(Setup!$C$4),MONTH(Setup!$C$4),DAY(Setup!$C$4)+((D64-1)*7)+(E64-WEEKDAY(DATE(YEAR(Setup!$C$4),MONTH(Setup!$C$4),DAY(Setup!$C$4)),1)))</f>
        <v/>
      </c>
      <c r="J64" s="26">
        <f>I64+3</f>
        <v/>
      </c>
      <c r="K64" s="26">
        <f>(I64 + (7 - WEEKDAY(I64,1))) + 1</f>
        <v/>
      </c>
      <c r="L64" s="23">
        <f>F64*G64</f>
        <v/>
      </c>
    </row>
    <row r="65">
      <c r="G65" s="2" t="n"/>
      <c r="H65" s="2" t="n"/>
      <c r="I65" s="26">
        <f>DATE(YEAR(Setup!$C$4),MONTH(Setup!$C$4),DAY(Setup!$C$4)+((D65-1)*7)+(E65-WEEKDAY(DATE(YEAR(Setup!$C$4),MONTH(Setup!$C$4),DAY(Setup!$C$4)),1)))</f>
        <v/>
      </c>
      <c r="J65" s="26">
        <f>I65+3</f>
        <v/>
      </c>
      <c r="K65" s="26">
        <f>(I65 + (7 - WEEKDAY(I65,1))) + 1</f>
        <v/>
      </c>
      <c r="L65" s="23">
        <f>F65*G65</f>
        <v/>
      </c>
    </row>
    <row r="66">
      <c r="G66" s="2" t="n"/>
      <c r="H66" s="2" t="n"/>
      <c r="I66" s="26">
        <f>DATE(YEAR(Setup!$C$4),MONTH(Setup!$C$4),DAY(Setup!$C$4)+((D66-1)*7)+(E66-WEEKDAY(DATE(YEAR(Setup!$C$4),MONTH(Setup!$C$4),DAY(Setup!$C$4)),1)))</f>
        <v/>
      </c>
      <c r="J66" s="26">
        <f>I66+3</f>
        <v/>
      </c>
      <c r="K66" s="26">
        <f>(I66 + (7 - WEEKDAY(I66,1))) + 1</f>
        <v/>
      </c>
      <c r="L66" s="23">
        <f>F66*G66</f>
        <v/>
      </c>
    </row>
    <row r="67">
      <c r="G67" s="2" t="n"/>
      <c r="H67" s="2" t="n"/>
      <c r="I67" s="26">
        <f>DATE(YEAR(Setup!$C$4),MONTH(Setup!$C$4),DAY(Setup!$C$4)+((D67-1)*7)+(E67-WEEKDAY(DATE(YEAR(Setup!$C$4),MONTH(Setup!$C$4),DAY(Setup!$C$4)),1)))</f>
        <v/>
      </c>
      <c r="J67" s="26">
        <f>I67+3</f>
        <v/>
      </c>
      <c r="K67" s="26">
        <f>(I67 + (7 - WEEKDAY(I67,1))) + 1</f>
        <v/>
      </c>
      <c r="L67" s="23">
        <f>F67*G67</f>
        <v/>
      </c>
    </row>
    <row r="68">
      <c r="G68" s="2" t="n"/>
      <c r="H68" s="2" t="n"/>
      <c r="I68" s="26">
        <f>DATE(YEAR(Setup!$C$4),MONTH(Setup!$C$4),DAY(Setup!$C$4)+((D68-1)*7)+(E68-WEEKDAY(DATE(YEAR(Setup!$C$4),MONTH(Setup!$C$4),DAY(Setup!$C$4)),1)))</f>
        <v/>
      </c>
      <c r="J68" s="26">
        <f>I68+3</f>
        <v/>
      </c>
      <c r="K68" s="26">
        <f>(I68 + (7 - WEEKDAY(I68,1))) + 1</f>
        <v/>
      </c>
      <c r="L68" s="23">
        <f>F68*G68</f>
        <v/>
      </c>
    </row>
    <row r="69">
      <c r="G69" s="2" t="n"/>
      <c r="H69" s="2" t="n"/>
      <c r="I69" s="26">
        <f>DATE(YEAR(Setup!$C$4),MONTH(Setup!$C$4),DAY(Setup!$C$4)+((D69-1)*7)+(E69-WEEKDAY(DATE(YEAR(Setup!$C$4),MONTH(Setup!$C$4),DAY(Setup!$C$4)),1)))</f>
        <v/>
      </c>
      <c r="J69" s="26">
        <f>I69+3</f>
        <v/>
      </c>
      <c r="K69" s="26">
        <f>(I69 + (7 - WEEKDAY(I69,1))) + 1</f>
        <v/>
      </c>
      <c r="L69" s="23">
        <f>F69*G69</f>
        <v/>
      </c>
    </row>
    <row r="70">
      <c r="G70" s="2" t="n"/>
      <c r="H70" s="2" t="n"/>
      <c r="I70" s="26">
        <f>DATE(YEAR(Setup!$C$4),MONTH(Setup!$C$4),DAY(Setup!$C$4)+((D70-1)*7)+(E70-WEEKDAY(DATE(YEAR(Setup!$C$4),MONTH(Setup!$C$4),DAY(Setup!$C$4)),1)))</f>
        <v/>
      </c>
      <c r="J70" s="26">
        <f>I70+3</f>
        <v/>
      </c>
      <c r="K70" s="26">
        <f>(I70 + (7 - WEEKDAY(I70,1))) + 1</f>
        <v/>
      </c>
      <c r="L70" s="23">
        <f>F70*G70</f>
        <v/>
      </c>
    </row>
    <row r="71">
      <c r="G71" s="2" t="n"/>
      <c r="H71" s="2" t="n"/>
      <c r="I71" s="26">
        <f>DATE(YEAR(Setup!$C$4),MONTH(Setup!$C$4),DAY(Setup!$C$4)+((D71-1)*7)+(E71-WEEKDAY(DATE(YEAR(Setup!$C$4),MONTH(Setup!$C$4),DAY(Setup!$C$4)),1)))</f>
        <v/>
      </c>
      <c r="J71" s="26">
        <f>I71+3</f>
        <v/>
      </c>
      <c r="K71" s="26">
        <f>(I71 + (7 - WEEKDAY(I71,1))) + 1</f>
        <v/>
      </c>
      <c r="L71" s="23">
        <f>F71*G71</f>
        <v/>
      </c>
    </row>
    <row r="72">
      <c r="G72" s="2" t="n"/>
      <c r="H72" s="2" t="n"/>
      <c r="I72" s="26">
        <f>DATE(YEAR(Setup!$C$4),MONTH(Setup!$C$4),DAY(Setup!$C$4)+((D72-1)*7)+(E72-WEEKDAY(DATE(YEAR(Setup!$C$4),MONTH(Setup!$C$4),DAY(Setup!$C$4)),1)))</f>
        <v/>
      </c>
      <c r="J72" s="26">
        <f>I72+3</f>
        <v/>
      </c>
      <c r="K72" s="26">
        <f>(I72 + (7 - WEEKDAY(I72,1))) + 1</f>
        <v/>
      </c>
      <c r="L72" s="23">
        <f>F72*G72</f>
        <v/>
      </c>
    </row>
    <row r="73">
      <c r="G73" s="2" t="n"/>
      <c r="H73" s="2" t="n"/>
      <c r="I73" s="26">
        <f>DATE(YEAR(Setup!$C$4),MONTH(Setup!$C$4),DAY(Setup!$C$4)+((D73-1)*7)+(E73-WEEKDAY(DATE(YEAR(Setup!$C$4),MONTH(Setup!$C$4),DAY(Setup!$C$4)),1)))</f>
        <v/>
      </c>
      <c r="J73" s="26">
        <f>I73+3</f>
        <v/>
      </c>
      <c r="K73" s="26">
        <f>(I73 + (7 - WEEKDAY(I73,1))) + 1</f>
        <v/>
      </c>
      <c r="L73" s="23">
        <f>F73*G73</f>
        <v/>
      </c>
    </row>
    <row r="74">
      <c r="G74" s="2" t="n"/>
      <c r="H74" s="2" t="n"/>
      <c r="I74" s="26">
        <f>DATE(YEAR(Setup!$C$4),MONTH(Setup!$C$4),DAY(Setup!$C$4)+((D74-1)*7)+(E74-WEEKDAY(DATE(YEAR(Setup!$C$4),MONTH(Setup!$C$4),DAY(Setup!$C$4)),1)))</f>
        <v/>
      </c>
      <c r="J74" s="26">
        <f>I74+3</f>
        <v/>
      </c>
      <c r="K74" s="26">
        <f>(I74 + (7 - WEEKDAY(I74,1))) + 1</f>
        <v/>
      </c>
      <c r="L74" s="23">
        <f>F74*G74</f>
        <v/>
      </c>
    </row>
    <row r="75">
      <c r="G75" s="2" t="n"/>
      <c r="H75" s="2" t="n"/>
      <c r="I75" s="26">
        <f>DATE(YEAR(Setup!$C$4),MONTH(Setup!$C$4),DAY(Setup!$C$4)+((D75-1)*7)+(E75-WEEKDAY(DATE(YEAR(Setup!$C$4),MONTH(Setup!$C$4),DAY(Setup!$C$4)),1)))</f>
        <v/>
      </c>
      <c r="J75" s="26">
        <f>I75+3</f>
        <v/>
      </c>
      <c r="K75" s="26">
        <f>(I75 + (7 - WEEKDAY(I75,1))) + 1</f>
        <v/>
      </c>
      <c r="L75" s="23">
        <f>F75*G75</f>
        <v/>
      </c>
    </row>
  </sheetData>
  <sheetProtection selectLockedCells="1" selectUnlockedCells="0" algorithmName="SHA-512" sheet="1" objects="0" insertRows="0" insertHyperlinks="1" autoFilter="0" scenarios="0" formatColumns="1" deleteColumns="1" insertColumns="1" pivotTables="1" deleteRows="0" formatCells="0" saltValue="HkjOe0G27SgW99QwqXCVHA==" formatRows="0" sort="0" spinCount="100000" hashValue="935RdBHYdEOK3hPTjpKWH5+0iw8XWH2B/1sDPpqRxxSzBycaX1TNhmi4pigcS0lfe3IPr3dlw5DHbyPWCh4VQQ=="/>
  <autoFilter ref="A1:N75">
    <sortState ref="A2:N75">
      <sortCondition ref="B1:B75"/>
    </sortState>
  </autoFilter>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21.xml><?xml version="1.0" encoding="utf-8"?>
<worksheet xmlns="http://schemas.openxmlformats.org/spreadsheetml/2006/main">
  <sheetPr codeName="Sheet18">
    <tabColor rgb="FF00B050"/>
    <outlinePr summaryBelow="1" summaryRight="1"/>
    <pageSetUpPr/>
  </sheetPr>
  <dimension ref="A1:N78"/>
  <sheetViews>
    <sheetView topLeftCell="A7" workbookViewId="0">
      <pane xSplit="3" topLeftCell="D26" activePane="topRight" state="frozen"/>
      <selection pane="topRight" activeCell="C33" sqref="C33"/>
    </sheetView>
  </sheetViews>
  <sheetFormatPr baseColWidth="8" defaultColWidth="8.85546875" defaultRowHeight="15"/>
  <cols>
    <col width="13" customWidth="1" style="1" min="1" max="1"/>
    <col width="24.28515625" customWidth="1" style="1" min="2" max="2"/>
    <col width="43.140625" customWidth="1" style="1" min="3" max="3"/>
    <col width="14.42578125" customWidth="1" style="1" min="4" max="4"/>
    <col width="14" customWidth="1" style="1" min="5" max="6"/>
    <col width="14.140625" customWidth="1" style="1" min="7" max="7"/>
    <col hidden="1" width="14.140625" customWidth="1" style="1" min="8" max="8"/>
    <col hidden="1" width="22" customWidth="1" style="23" min="9" max="9"/>
    <col hidden="1" width="15.28515625" customWidth="1" style="23" min="10" max="10"/>
    <col hidden="1" width="17.7109375" customWidth="1" style="23" min="11" max="11"/>
    <col hidden="1" width="12.85546875" customWidth="1" style="23" min="12" max="12"/>
    <col width="69.42578125" customWidth="1" style="1" min="13" max="13"/>
    <col width="119.140625" customWidth="1" style="1" min="14" max="14"/>
    <col width="8.85546875" customWidth="1" style="1" min="15" max="16384"/>
  </cols>
  <sheetData>
    <row r="1" ht="30" customFormat="1" customHeight="1" s="4">
      <c r="A1" s="4" t="inlineStr">
        <is>
          <t>Course</t>
        </is>
      </c>
      <c r="B1" s="4" t="inlineStr">
        <is>
          <t>Action Type</t>
        </is>
      </c>
      <c r="C1" s="4" t="inlineStr">
        <is>
          <t>Assignment</t>
        </is>
      </c>
      <c r="D1" s="5" t="inlineStr">
        <is>
          <t>Week of Outreach</t>
        </is>
      </c>
      <c r="E1" s="5" t="inlineStr">
        <is>
          <t>Day of Outreach</t>
        </is>
      </c>
      <c r="F1" s="5" t="inlineStr">
        <is>
          <t>Points Possible</t>
        </is>
      </c>
      <c r="G1" s="5" t="inlineStr">
        <is>
          <t>% + or - for Outreach</t>
        </is>
      </c>
      <c r="H1" s="4" t="inlineStr">
        <is>
          <t>Configured</t>
        </is>
      </c>
      <c r="I1" s="4" t="inlineStr">
        <is>
          <t xml:space="preserve">Start Date </t>
        </is>
      </c>
      <c r="J1" s="4" t="inlineStr">
        <is>
          <t>Due Date</t>
        </is>
      </c>
      <c r="K1" s="4" t="inlineStr">
        <is>
          <t>Expire Date</t>
        </is>
      </c>
      <c r="L1" s="4" t="inlineStr">
        <is>
          <t>Score</t>
        </is>
      </c>
      <c r="M1" s="25" t="inlineStr">
        <is>
          <t>Reason for Outreach Title (Drop Down in IMS)</t>
        </is>
      </c>
      <c r="N1" s="25" t="inlineStr">
        <is>
          <t>Description/Prompt in IMS</t>
        </is>
      </c>
    </row>
    <row r="2">
      <c r="A2" s="1" t="inlineStr">
        <is>
          <t>WDD330</t>
        </is>
      </c>
      <c r="B2" s="1" t="inlineStr">
        <is>
          <t>New Student Added</t>
        </is>
      </c>
      <c r="C2" s="1" t="inlineStr">
        <is>
          <t xml:space="preserve"> </t>
        </is>
      </c>
      <c r="D2" s="23" t="n">
        <v>0</v>
      </c>
      <c r="E2" s="23" t="n">
        <v>6</v>
      </c>
      <c r="G2" s="24" t="n"/>
      <c r="H2" s="2" t="inlineStr">
        <is>
          <t>y</t>
        </is>
      </c>
      <c r="I2" s="26">
        <f>DATE(YEAR(Setup!$C$4),MONTH(Setup!$C$4),DAY(Setup!$C$4)+((D2-1)*7)+(E2-WEEKDAY(DATE(YEAR(Setup!$C$4),MONTH(Setup!$C$4),DAY(Setup!$C$4)),1)))</f>
        <v/>
      </c>
      <c r="J2" s="26">
        <f>I2+3</f>
        <v/>
      </c>
      <c r="K2" s="26">
        <f>(I2 + (7 - WEEKDAY(I2,1))) + 1</f>
        <v/>
      </c>
      <c r="L2" s="23">
        <f>F2*G2</f>
        <v/>
      </c>
      <c r="M2" s="1" t="inlineStr">
        <is>
          <t>E-mail de Boas-vindas</t>
        </is>
      </c>
      <c r="N2" s="37" t="inlineStr">
        <is>
          <t>Envie uma mensagem para os novos alunos para dar as boas-vindas à aula e ajudá-los a enviar as tarefas que perderam.</t>
        </is>
      </c>
    </row>
    <row r="3">
      <c r="A3" s="1" t="inlineStr">
        <is>
          <t>WDD330</t>
        </is>
      </c>
      <c r="B3" s="1" t="inlineStr">
        <is>
          <t>Scheduled - Not Logged In</t>
        </is>
      </c>
      <c r="D3" s="23" t="n">
        <v>1</v>
      </c>
      <c r="E3" s="23" t="n">
        <v>4</v>
      </c>
      <c r="G3" s="24" t="n"/>
      <c r="H3" s="2" t="n"/>
      <c r="I3" s="26">
        <f>DATE(YEAR(Setup!$C$4),MONTH(Setup!$C$4),DAY(Setup!$C$4)+((D3-1)*7)+(E3-WEEKDAY(DATE(YEAR(Setup!$C$4),MONTH(Setup!$C$4),DAY(Setup!$C$4)),1)))</f>
        <v/>
      </c>
      <c r="J3" s="26">
        <f>I3+3</f>
        <v/>
      </c>
      <c r="K3" s="26">
        <f>(I3 + (7 - WEEKDAY(I3,1))) + 1</f>
        <v/>
      </c>
      <c r="L3" s="23">
        <f>F3*G3</f>
        <v/>
      </c>
      <c r="M3" s="1" t="inlineStr">
        <is>
          <t>Não fez login no Canvas</t>
        </is>
      </c>
      <c r="N3" s="43" t="inlineStr">
        <is>
          <t>Envie um e-mail (fora do IMS) para os estudantes que não fizeram login no Canvas, lembrando-os de que o período letivo começou e incentivando-os a começar.</t>
        </is>
      </c>
    </row>
    <row r="4">
      <c r="A4" s="1" t="inlineStr">
        <is>
          <t>WDD330</t>
        </is>
      </c>
      <c r="B4" s="1" t="inlineStr">
        <is>
          <t>Missing Assignment</t>
        </is>
      </c>
      <c r="C4" s="1" t="inlineStr">
        <is>
          <t>S01 Atividade Individual: Adicionar Item ao Carrinho</t>
        </is>
      </c>
      <c r="D4" s="23" t="n">
        <v>2</v>
      </c>
      <c r="E4" s="23" t="n">
        <v>2</v>
      </c>
      <c r="F4" s="1" t="n">
        <v>10</v>
      </c>
      <c r="G4" s="2" t="inlineStr">
        <is>
          <t xml:space="preserve"> </t>
        </is>
      </c>
      <c r="H4" s="2" t="inlineStr">
        <is>
          <t>y</t>
        </is>
      </c>
      <c r="I4" s="26">
        <f>DATE(YEAR(Setup!$C$4),MONTH(Setup!$C$4),DAY(Setup!$C$4)+((D4-1)*7)+(E4-WEEKDAY(DATE(YEAR(Setup!$C$4),MONTH(Setup!$C$4),DAY(Setup!$C$4)),1)))</f>
        <v/>
      </c>
      <c r="J4" s="26">
        <f>I4+3</f>
        <v/>
      </c>
      <c r="K4" s="26">
        <f>(I4 + (7 - WEEKDAY(I4,1))) + 1</f>
        <v/>
      </c>
      <c r="L4" s="23">
        <f>F4*G4</f>
        <v/>
      </c>
      <c r="M4" s="1" t="inlineStr">
        <is>
          <t>Tarefa Pendente: Atividade Individual da W01: Adicionar Item ao Carrinho</t>
        </is>
      </c>
      <c r="N4" s="1" t="inlineStr">
        <is>
          <t>Entre em contato com o aluno que não enviou a Atividade Individual da W01: Add Item to Cart</t>
        </is>
      </c>
    </row>
    <row r="5">
      <c r="A5" s="1" t="inlineStr">
        <is>
          <t>WDD330</t>
        </is>
      </c>
      <c r="B5" s="1" t="inlineStr">
        <is>
          <t>Grader-Issued 0</t>
        </is>
      </c>
      <c r="C5" s="1" t="inlineStr">
        <is>
          <t>S01 Atividade Individual: Adicionar Item ao Carrinho</t>
        </is>
      </c>
      <c r="D5" s="23" t="n">
        <v>2</v>
      </c>
      <c r="E5" s="23" t="n">
        <v>4</v>
      </c>
      <c r="F5" s="1" t="n">
        <v>10</v>
      </c>
      <c r="G5" s="2" t="n"/>
      <c r="H5" s="2" t="inlineStr">
        <is>
          <t>y</t>
        </is>
      </c>
      <c r="I5" s="26">
        <f>DATE(YEAR(Setup!$C$4),MONTH(Setup!$C$4),DAY(Setup!$C$4)+((D5-1)*7)+(E5-WEEKDAY(DATE(YEAR(Setup!$C$4),MONTH(Setup!$C$4),DAY(Setup!$C$4)),1)))</f>
        <v/>
      </c>
      <c r="J5" s="26">
        <f>I5+3</f>
        <v/>
      </c>
      <c r="K5" s="26">
        <f>(I5 + (7 - WEEKDAY(I5,1))) + 1</f>
        <v/>
      </c>
      <c r="L5" s="23">
        <f>F5*G5</f>
        <v/>
      </c>
      <c r="M5" s="1" t="inlineStr">
        <is>
          <t>O aluno recebeu uma nota 0 atribuída pelo avaliador na Atividade Individual da W01: Adicionar Item ao Carrinho</t>
        </is>
      </c>
      <c r="N5" s="44" t="inlineStr">
        <is>
          <t>O avaliador atribuiu nota 0 para: Atividade Individual da W01: Adicionar Item ao Carrinho. Acesse o Canvas e veja os comentários do avaliador. Trabalhe com o(a) estudante para ajudá-lo(a) a reenviar.</t>
        </is>
      </c>
    </row>
    <row r="6">
      <c r="A6" s="1" t="inlineStr">
        <is>
          <t>WDD330</t>
        </is>
      </c>
      <c r="B6" s="1" t="inlineStr">
        <is>
          <t>High Performance</t>
        </is>
      </c>
      <c r="C6" s="1" t="inlineStr">
        <is>
          <t>S01 Atividade Individual: Adicionar Item ao Carrinho</t>
        </is>
      </c>
      <c r="D6" s="23" t="n">
        <v>2</v>
      </c>
      <c r="E6" s="23" t="n">
        <v>5</v>
      </c>
      <c r="F6" s="1" t="n">
        <v>10</v>
      </c>
      <c r="G6" s="2" t="n">
        <v>0.9</v>
      </c>
      <c r="H6" s="2" t="inlineStr">
        <is>
          <t>y</t>
        </is>
      </c>
      <c r="I6" s="26">
        <f>DATE(YEAR(Setup!$C$4),MONTH(Setup!$C$4),DAY(Setup!$C$4)+((D6-1)*7)+(E6-WEEKDAY(DATE(YEAR(Setup!$C$4),MONTH(Setup!$C$4),DAY(Setup!$C$4)),1)))</f>
        <v/>
      </c>
      <c r="J6" s="26">
        <f>I6+3</f>
        <v/>
      </c>
      <c r="K6" s="26">
        <f>(I6 + (7 - WEEKDAY(I6,1))) + 1</f>
        <v/>
      </c>
      <c r="L6" s="23">
        <f>F6*G6</f>
        <v/>
      </c>
      <c r="M6" s="1" t="inlineStr">
        <is>
          <t>Alto desempenho: Atividade Individual W01: Adicionar Item ao Carrinho</t>
        </is>
      </c>
      <c r="N6" s="1" t="inlineStr">
        <is>
          <t>Forneça feedback positivo sobre a Atividade Individual da W01: Adicionar Item ao Carrinho</t>
        </is>
      </c>
    </row>
    <row r="7">
      <c r="A7" s="1" t="inlineStr">
        <is>
          <t>WDD330</t>
        </is>
      </c>
      <c r="B7" s="1" t="inlineStr">
        <is>
          <t>Low Performance</t>
        </is>
      </c>
      <c r="C7" s="1" t="inlineStr">
        <is>
          <t>S01 Atividade Individual: Adicionar Item ao Carrinho</t>
        </is>
      </c>
      <c r="D7" s="23" t="n">
        <v>2</v>
      </c>
      <c r="E7" s="23" t="n">
        <v>5</v>
      </c>
      <c r="F7" s="1" t="n">
        <v>10</v>
      </c>
      <c r="G7" s="2" t="n">
        <v>0.7</v>
      </c>
      <c r="H7" s="2" t="inlineStr">
        <is>
          <t>y</t>
        </is>
      </c>
      <c r="I7" s="26">
        <f>DATE(YEAR(Setup!$C$4),MONTH(Setup!$C$4),DAY(Setup!$C$4)+((D7-1)*7)+(E7-WEEKDAY(DATE(YEAR(Setup!$C$4),MONTH(Setup!$C$4),DAY(Setup!$C$4)),1)))</f>
        <v/>
      </c>
      <c r="J7" s="26">
        <f>I7+3</f>
        <v/>
      </c>
      <c r="K7" s="26">
        <f>(I7 + (7 - WEEKDAY(I7,1))) + 1</f>
        <v/>
      </c>
      <c r="L7" s="23">
        <f>F7*G7</f>
        <v/>
      </c>
      <c r="M7" s="1" t="inlineStr">
        <is>
          <t>Baixo Desempenho: Atividade Individual W01: Add Item to Cart</t>
        </is>
      </c>
      <c r="N7" s="1" t="inlineStr">
        <is>
          <t>Em Risco. O aluno obteve menos de 70% na Atividade Individual da W01: Adicionar Item ao Carrinho. Entre em contato para ver como você pode ajudar.</t>
        </is>
      </c>
    </row>
    <row r="8" ht="15.95" customHeight="1">
      <c r="A8" s="1" t="inlineStr">
        <is>
          <t>WDD330</t>
        </is>
      </c>
      <c r="B8" s="1" t="inlineStr">
        <is>
          <t>Missing Assignment</t>
        </is>
      </c>
      <c r="C8" s="1" t="inlineStr">
        <is>
          <t>S02 Atividade Individual: Lista Dinâmica de Produtos</t>
        </is>
      </c>
      <c r="D8" s="23" t="n">
        <v>3</v>
      </c>
      <c r="E8" s="23" t="n">
        <v>2</v>
      </c>
      <c r="F8" s="1" t="n">
        <v>10</v>
      </c>
      <c r="G8" s="2" t="n"/>
      <c r="H8" s="2" t="inlineStr">
        <is>
          <t>y</t>
        </is>
      </c>
      <c r="I8" s="26">
        <f>DATE(YEAR(Setup!$C$4),MONTH(Setup!$C$4),DAY(Setup!$C$4)+((D8-1)*7)+(E8-WEEKDAY(DATE(YEAR(Setup!$C$4),MONTH(Setup!$C$4),DAY(Setup!$C$4)),1)))</f>
        <v/>
      </c>
      <c r="J8" s="26">
        <f>I8+3</f>
        <v/>
      </c>
      <c r="K8" s="26">
        <f>(I8 + (7 - WEEKDAY(I8,1))) + 1</f>
        <v/>
      </c>
      <c r="L8" s="23">
        <f>F8*G8</f>
        <v/>
      </c>
      <c r="M8" s="1" t="inlineStr">
        <is>
          <t>Tarefa pendente: Atividade individual W02: Lista de produtos dinâmica</t>
        </is>
      </c>
      <c r="N8" s="3" t="inlineStr">
        <is>
          <t>Entre em contato com o aluno que não entregou a Atividade individual W02: Lista de produtos dinâmica</t>
        </is>
      </c>
    </row>
    <row r="9">
      <c r="A9" s="1" t="inlineStr">
        <is>
          <t>WDD330</t>
        </is>
      </c>
      <c r="B9" s="1" t="inlineStr">
        <is>
          <t>Quiz Question</t>
        </is>
      </c>
      <c r="C9" s="1" t="inlineStr">
        <is>
          <t>S02 Atualização de Status de 60 Segundos: Precisa de Ajuda Resposta: Sim</t>
        </is>
      </c>
      <c r="D9" s="23" t="n">
        <v>3</v>
      </c>
      <c r="E9" s="23" t="n">
        <v>2</v>
      </c>
      <c r="G9" s="2" t="n"/>
      <c r="H9" s="2" t="inlineStr">
        <is>
          <t>y</t>
        </is>
      </c>
      <c r="I9" s="26">
        <f>DATE(YEAR(Setup!$C$4),MONTH(Setup!$C$4),DAY(Setup!$C$4)+((D9-1)*7)+(E9-WEEKDAY(DATE(YEAR(Setup!$C$4),MONTH(Setup!$C$4),DAY(Setup!$C$4)),1)))</f>
        <v/>
      </c>
      <c r="J9" s="26">
        <f>I9+3</f>
        <v/>
      </c>
      <c r="K9" s="26">
        <f>(I9 + (7 - WEEKDAY(I9,1))) + 1</f>
        <v/>
      </c>
      <c r="L9" s="23">
        <f>F9*G9</f>
        <v/>
      </c>
      <c r="M9" s="1" t="inlineStr">
        <is>
          <t>Resposta à Atualização de Status de 60 segundos da W02. O estudante se sente sobrecarregado.</t>
        </is>
      </c>
      <c r="N9" s="1" t="inlineStr">
        <is>
          <t>O aluno respondeu que está se sentindo sobrecarregado na Atualização de Status de 60 segundos da W02. Entre em contato com o aluno para ver como você pode ajudar.</t>
        </is>
      </c>
    </row>
    <row r="10">
      <c r="A10" s="1" t="inlineStr">
        <is>
          <t>WDD330</t>
        </is>
      </c>
      <c r="B10" s="1" t="inlineStr">
        <is>
          <t>Grader-Issued 0</t>
        </is>
      </c>
      <c r="C10" s="45" t="inlineStr">
        <is>
          <t>S02 Atividade Individual: Lista Dinâmica de Produtos</t>
        </is>
      </c>
      <c r="D10" s="23" t="n">
        <v>3</v>
      </c>
      <c r="E10" s="23" t="n">
        <v>4</v>
      </c>
      <c r="F10" s="1" t="n">
        <v>10</v>
      </c>
      <c r="G10" s="2" t="n"/>
      <c r="H10" s="2" t="inlineStr">
        <is>
          <t>y</t>
        </is>
      </c>
      <c r="I10" s="26">
        <f>DATE(YEAR(Setup!$C$4),MONTH(Setup!$C$4),DAY(Setup!$C$4)+((D10-1)*7)+(E10-WEEKDAY(DATE(YEAR(Setup!$C$4),MONTH(Setup!$C$4),DAY(Setup!$C$4)),1)))</f>
        <v/>
      </c>
      <c r="J10" s="26">
        <f>I10+3</f>
        <v/>
      </c>
      <c r="K10" s="26">
        <f>(I10 + (7 - WEEKDAY(I10,1))) + 1</f>
        <v/>
      </c>
      <c r="L10" s="23">
        <f>F10*G10</f>
        <v/>
      </c>
      <c r="M10" s="1" t="inlineStr">
        <is>
          <t>O aluno recebeu nota 0 atribuída pelo avaliador na Atividade Individual da W02: Dynamic Product List</t>
        </is>
      </c>
      <c r="N10" s="44" t="inlineStr">
        <is>
          <t>Nota 0 atribuída pelo avaliador na W02 Atividade Individual: Lista Dinâmica de Produtos. Acesse o Canvas e veja os comentários do avaliador. Trabalhe com o aluno para ajudá-lo a enviar novamente.</t>
        </is>
      </c>
    </row>
    <row r="11" ht="15.95" customHeight="1">
      <c r="A11" s="1" t="inlineStr">
        <is>
          <t>WDD330</t>
        </is>
      </c>
      <c r="B11" s="1" t="inlineStr">
        <is>
          <t>High Performance</t>
        </is>
      </c>
      <c r="C11" s="1" t="inlineStr">
        <is>
          <t>S02 Atividade Individual: Lista Dinâmica de Produtos</t>
        </is>
      </c>
      <c r="D11" s="23" t="n">
        <v>3</v>
      </c>
      <c r="E11" s="23" t="n">
        <v>5</v>
      </c>
      <c r="F11" s="1" t="n">
        <v>10</v>
      </c>
      <c r="G11" s="2" t="n">
        <v>0.9</v>
      </c>
      <c r="H11" s="2" t="inlineStr">
        <is>
          <t>y</t>
        </is>
      </c>
      <c r="I11" s="26">
        <f>DATE(YEAR(Setup!$C$4),MONTH(Setup!$C$4),DAY(Setup!$C$4)+((D11-1)*7)+(E11-WEEKDAY(DATE(YEAR(Setup!$C$4),MONTH(Setup!$C$4),DAY(Setup!$C$4)),1)))</f>
        <v/>
      </c>
      <c r="J11" s="26">
        <f>I11+3</f>
        <v/>
      </c>
      <c r="K11" s="26">
        <f>(I11 + (7 - WEEKDAY(I11,1))) + 1</f>
        <v/>
      </c>
      <c r="L11" s="23">
        <f>F11*G11</f>
        <v/>
      </c>
      <c r="M11" s="1" t="inlineStr">
        <is>
          <t>Alto Desempenho: Atividade Individual W02: Dynamic Product List</t>
        </is>
      </c>
      <c r="N11" s="3" t="inlineStr">
        <is>
          <t>Forneça Feedback Positivo na Atividade Individual da W02: Lista de Produtos Dinâmica</t>
        </is>
      </c>
    </row>
    <row r="12" ht="15.95" customHeight="1">
      <c r="A12" s="1" t="inlineStr">
        <is>
          <t>WDD330</t>
        </is>
      </c>
      <c r="B12" s="1" t="inlineStr">
        <is>
          <t>Low Performance</t>
        </is>
      </c>
      <c r="C12" s="1" t="inlineStr">
        <is>
          <t>S02 Atividade Individual: Lista Dinâmica de Produtos</t>
        </is>
      </c>
      <c r="D12" s="23" t="n">
        <v>3</v>
      </c>
      <c r="E12" s="23" t="n">
        <v>5</v>
      </c>
      <c r="F12" s="1" t="n">
        <v>10</v>
      </c>
      <c r="G12" s="2" t="n">
        <v>0.7</v>
      </c>
      <c r="H12" s="2" t="inlineStr">
        <is>
          <t>y</t>
        </is>
      </c>
      <c r="I12" s="26">
        <f>DATE(YEAR(Setup!$C$4),MONTH(Setup!$C$4),DAY(Setup!$C$4)+((D12-1)*7)+(E12-WEEKDAY(DATE(YEAR(Setup!$C$4),MONTH(Setup!$C$4),DAY(Setup!$C$4)),1)))</f>
        <v/>
      </c>
      <c r="J12" s="26">
        <f>I12+3</f>
        <v/>
      </c>
      <c r="K12" s="26">
        <f>(I12 + (7 - WEEKDAY(I12,1))) + 1</f>
        <v/>
      </c>
      <c r="L12" s="23">
        <f>F12*G12</f>
        <v/>
      </c>
      <c r="M12" s="1" t="inlineStr">
        <is>
          <t>Baixo Desempenho: Atividade Individual da W02: Lista de Produtos Dinâmica</t>
        </is>
      </c>
      <c r="N12" s="3" t="inlineStr">
        <is>
          <t>Em risco. O aluno obteve nota abaixo de 70% na Atividade Individual W02: Lista Dinâmica de Produtos. Entre em contato para ver como você pode ajudar.</t>
        </is>
      </c>
    </row>
    <row r="13">
      <c r="A13" s="1" t="inlineStr">
        <is>
          <t>WDD330</t>
        </is>
      </c>
      <c r="B13" s="1" t="inlineStr">
        <is>
          <t>Missing Assignment</t>
        </is>
      </c>
      <c r="C13" s="1" t="inlineStr">
        <is>
          <t>S03 Projeto Final: Brainstorm</t>
        </is>
      </c>
      <c r="D13" s="23" t="n">
        <v>4</v>
      </c>
      <c r="E13" s="23" t="n">
        <v>2</v>
      </c>
      <c r="F13" s="1" t="n">
        <v>10</v>
      </c>
      <c r="G13" s="2" t="n"/>
      <c r="H13" s="2" t="inlineStr">
        <is>
          <t>y</t>
        </is>
      </c>
      <c r="I13" s="26">
        <f>DATE(YEAR(Setup!$C$4),MONTH(Setup!$C$4),DAY(Setup!$C$4)+((D13-1)*7)+(E13-WEEKDAY(DATE(YEAR(Setup!$C$4),MONTH(Setup!$C$4),DAY(Setup!$C$4)),1)))</f>
        <v/>
      </c>
      <c r="J13" s="26">
        <f>I13+3</f>
        <v/>
      </c>
      <c r="K13" s="26">
        <f>(I13 + (7 - WEEKDAY(I13,1))) + 1</f>
        <v/>
      </c>
      <c r="L13" s="23">
        <f>F13*G13</f>
        <v/>
      </c>
      <c r="M13" s="1" t="inlineStr">
        <is>
          <t>Tarefa Pendente: Projeto Final da W03: Brainstorm</t>
        </is>
      </c>
      <c r="N13" s="1" t="inlineStr">
        <is>
          <t>Entre em contato com o aluno que não entregou o Projeto Final da W03: Brainstorm</t>
        </is>
      </c>
    </row>
    <row r="14">
      <c r="A14" s="1" t="inlineStr">
        <is>
          <t>WDD330</t>
        </is>
      </c>
      <c r="B14" s="1" t="inlineStr">
        <is>
          <t>Quiz Question</t>
        </is>
      </c>
      <c r="C14" s="1" t="inlineStr">
        <is>
          <t>S03 Atualização de Status de 60 Segundos: Precisa de Ajuda Resposta: Sim</t>
        </is>
      </c>
      <c r="D14" s="23" t="n">
        <v>4</v>
      </c>
      <c r="E14" s="23" t="n">
        <v>2</v>
      </c>
      <c r="G14" s="2" t="n"/>
      <c r="H14" s="2" t="inlineStr">
        <is>
          <t>y</t>
        </is>
      </c>
      <c r="I14" s="26">
        <f>DATE(YEAR(Setup!$C$4),MONTH(Setup!$C$4),DAY(Setup!$C$4)+((D14-1)*7)+(E14-WEEKDAY(DATE(YEAR(Setup!$C$4),MONTH(Setup!$C$4),DAY(Setup!$C$4)),1)))</f>
        <v/>
      </c>
      <c r="J14" s="26">
        <f>I14+3</f>
        <v/>
      </c>
      <c r="K14" s="26">
        <f>(I14 + (7 - WEEKDAY(I14,1))) + 1</f>
        <v/>
      </c>
      <c r="L14" s="23">
        <f>F14*G14</f>
        <v/>
      </c>
      <c r="M14" s="1" t="inlineStr">
        <is>
          <t>Resposta à Atualização de Status de 60 segundos da W03. O aluno se sente sobrecarregado.</t>
        </is>
      </c>
      <c r="N14" s="1" t="inlineStr">
        <is>
          <t>O estudante respondeu estar se sentindo sobrecarregado na Atualização de Status de 60 segundos da W03. Entre em contato com o estudante para ver como você pode ajudar.</t>
        </is>
      </c>
    </row>
    <row r="15">
      <c r="A15" s="1" t="inlineStr">
        <is>
          <t>WDD330</t>
        </is>
      </c>
      <c r="B15" s="1" t="inlineStr">
        <is>
          <t>Grader-Issued 0</t>
        </is>
      </c>
      <c r="C15" s="1" t="inlineStr">
        <is>
          <t>S03 Projeto Final: Brainstorm</t>
        </is>
      </c>
      <c r="D15" s="23" t="n">
        <v>4</v>
      </c>
      <c r="E15" s="23" t="n">
        <v>4</v>
      </c>
      <c r="F15" s="1" t="n">
        <v>10</v>
      </c>
      <c r="G15" s="2" t="n"/>
      <c r="H15" s="2" t="inlineStr">
        <is>
          <t>y</t>
        </is>
      </c>
      <c r="I15" s="26">
        <f>DATE(YEAR(Setup!$C$4),MONTH(Setup!$C$4),DAY(Setup!$C$4)+((D15-1)*7)+(E15-WEEKDAY(DATE(YEAR(Setup!$C$4),MONTH(Setup!$C$4),DAY(Setup!$C$4)),1)))</f>
        <v/>
      </c>
      <c r="J15" s="26">
        <f>I15+3</f>
        <v/>
      </c>
      <c r="K15" s="26">
        <f>(I15 + (7 - WEEKDAY(I15,1))) + 1</f>
        <v/>
      </c>
      <c r="L15" s="23">
        <f>F15*G15</f>
        <v/>
      </c>
      <c r="M15" s="1" t="inlineStr">
        <is>
          <t>O aluno recebeu nota 0 atribuída pelo avaliador no Projeto Final da W03: Brainstorm</t>
        </is>
      </c>
      <c r="N15" s="44" t="inlineStr">
        <is>
          <t>O avaliador atribuiu nota 0 para o Projeto Final W03: Brainstorm. Acesse o Canvas e veja os comentários do avaliador. Trabalhe com o estudante para ajudá-lo a reenviar.</t>
        </is>
      </c>
    </row>
    <row r="16">
      <c r="A16" s="1" t="inlineStr">
        <is>
          <t>WDD330</t>
        </is>
      </c>
      <c r="B16" s="1" t="inlineStr">
        <is>
          <t>Scheduled - Low Current Grade</t>
        </is>
      </c>
      <c r="C16" s="1" t="inlineStr">
        <is>
          <t>Lembrete de Prazo para Desistência</t>
        </is>
      </c>
      <c r="D16" s="23" t="n">
        <v>4</v>
      </c>
      <c r="E16" s="23" t="n">
        <v>4</v>
      </c>
      <c r="G16" s="2" t="n">
        <v>0.5</v>
      </c>
      <c r="H16" s="2" t="n"/>
      <c r="I16" s="26">
        <f>DATE(YEAR(Setup!$C$4),MONTH(Setup!$C$4),DAY(Setup!$C$4)+((D16-1)*7)+(E16-WEEKDAY(DATE(YEAR(Setup!$C$4),MONTH(Setup!$C$4),DAY(Setup!$C$4)),1)))</f>
        <v/>
      </c>
      <c r="J16" s="26">
        <f>I16+3</f>
        <v/>
      </c>
      <c r="K16" s="26">
        <f>(I16 + (7 - WEEKDAY(I16,1))) + 1</f>
        <v/>
      </c>
      <c r="L16" s="23">
        <f>F16*G16</f>
        <v/>
      </c>
      <c r="M16" s="1" t="inlineStr">
        <is>
          <t>Aluno em situação de reprovação. Lembrete de cancelamento de matrícula</t>
        </is>
      </c>
      <c r="N16" s="1" t="inlineStr">
        <is>
          <t>Envie um e-mail para os alunos que estão reprovando no momento e que têm poucas chances de recuperação, lembrando-os do prazo de trancamento.</t>
        </is>
      </c>
    </row>
    <row r="17">
      <c r="A17" s="1" t="inlineStr">
        <is>
          <t>WDD330</t>
        </is>
      </c>
      <c r="B17" s="1" t="inlineStr">
        <is>
          <t>High Performance</t>
        </is>
      </c>
      <c r="C17" s="1" t="inlineStr">
        <is>
          <t>S03 Projeto Final: Brainstorm</t>
        </is>
      </c>
      <c r="D17" s="23" t="n">
        <v>4</v>
      </c>
      <c r="E17" s="23" t="n">
        <v>5</v>
      </c>
      <c r="F17" s="1" t="n">
        <v>10</v>
      </c>
      <c r="G17" s="2" t="n">
        <v>0.9</v>
      </c>
      <c r="H17" s="2" t="inlineStr">
        <is>
          <t>y</t>
        </is>
      </c>
      <c r="I17" s="26">
        <f>DATE(YEAR(Setup!$C$4),MONTH(Setup!$C$4),DAY(Setup!$C$4)+((D17-1)*7)+(E17-WEEKDAY(DATE(YEAR(Setup!$C$4),MONTH(Setup!$C$4),DAY(Setup!$C$4)),1)))</f>
        <v/>
      </c>
      <c r="J17" s="26">
        <f>I17+3</f>
        <v/>
      </c>
      <c r="K17" s="26">
        <f>(I17 + (7 - WEEKDAY(I17,1))) + 1</f>
        <v/>
      </c>
      <c r="L17" s="23">
        <f>F17*G17</f>
        <v/>
      </c>
      <c r="M17" s="1" t="inlineStr">
        <is>
          <t>Alto Desempenho: Projeto Final da W03: Brainstorm</t>
        </is>
      </c>
      <c r="N17" s="1" t="inlineStr">
        <is>
          <t>Fornecer feedback positivo sobre o Projeto Final W03: Brainstorm</t>
        </is>
      </c>
    </row>
    <row r="18">
      <c r="A18" s="1" t="inlineStr">
        <is>
          <t>WDD330</t>
        </is>
      </c>
      <c r="B18" s="1" t="inlineStr">
        <is>
          <t>Low Performance</t>
        </is>
      </c>
      <c r="C18" s="1" t="inlineStr">
        <is>
          <t>S03 Projeto Final: Brainstorm</t>
        </is>
      </c>
      <c r="D18" s="23" t="n">
        <v>4</v>
      </c>
      <c r="E18" s="23" t="n">
        <v>5</v>
      </c>
      <c r="F18" s="1" t="n">
        <v>10</v>
      </c>
      <c r="G18" s="2" t="n">
        <v>0.7</v>
      </c>
      <c r="H18" s="2" t="inlineStr">
        <is>
          <t>y</t>
        </is>
      </c>
      <c r="I18" s="26">
        <f>DATE(YEAR(Setup!$C$4),MONTH(Setup!$C$4),DAY(Setup!$C$4)+((D18-1)*7)+(E18-WEEKDAY(DATE(YEAR(Setup!$C$4),MONTH(Setup!$C$4),DAY(Setup!$C$4)),1)))</f>
        <v/>
      </c>
      <c r="J18" s="26">
        <f>I18+3</f>
        <v/>
      </c>
      <c r="K18" s="26">
        <f>(I18 + (7 - WEEKDAY(I18,1))) + 1</f>
        <v/>
      </c>
      <c r="L18" s="23">
        <f>F18*G18</f>
        <v/>
      </c>
      <c r="M18" s="1" t="inlineStr">
        <is>
          <t>Baixo desempenho: Projeto Final W03: Brainstorm</t>
        </is>
      </c>
      <c r="N18" s="1" t="inlineStr">
        <is>
          <t>Em risco. O estudante obteve nota abaixo de 70% no Projeto Final W03: Brainstorm. Entre em contato para ver como você pode ajudar.</t>
        </is>
      </c>
    </row>
    <row r="19" ht="15.95" customHeight="1">
      <c r="A19" s="1" t="inlineStr">
        <is>
          <t>WDD330</t>
        </is>
      </c>
      <c r="B19" s="1" t="inlineStr">
        <is>
          <t>Missing Assignment</t>
        </is>
      </c>
      <c r="C19" s="1" t="inlineStr">
        <is>
          <t>S04 Projeto Final: Proposta</t>
        </is>
      </c>
      <c r="D19" s="23" t="n">
        <v>5</v>
      </c>
      <c r="E19" s="23" t="n">
        <v>2</v>
      </c>
      <c r="F19" s="1" t="n">
        <v>20</v>
      </c>
      <c r="G19" s="2" t="n"/>
      <c r="H19" s="2" t="inlineStr">
        <is>
          <t>y</t>
        </is>
      </c>
      <c r="I19" s="26">
        <f>DATE(YEAR(Setup!$C$4),MONTH(Setup!$C$4),DAY(Setup!$C$4)+((D19-1)*7)+(E19-WEEKDAY(DATE(YEAR(Setup!$C$4),MONTH(Setup!$C$4),DAY(Setup!$C$4)),1)))</f>
        <v/>
      </c>
      <c r="J19" s="26">
        <f>I19+3</f>
        <v/>
      </c>
      <c r="K19" s="26">
        <f>(I19 + (7 - WEEKDAY(I19,1))) + 1</f>
        <v/>
      </c>
      <c r="L19" s="23">
        <f>F19*G19</f>
        <v/>
      </c>
      <c r="M19" s="1" t="inlineStr">
        <is>
          <t>Tarefa Pendente: Projeto Final da W04: Proposta de Aplicativo</t>
        </is>
      </c>
      <c r="N19" s="3" t="inlineStr">
        <is>
          <t>Fazer acompanhamento com o aluno que não enviou o W04 Projeto Final: Proposta de Aplicativo</t>
        </is>
      </c>
    </row>
    <row r="20">
      <c r="A20" s="1" t="inlineStr">
        <is>
          <t>WDD330</t>
        </is>
      </c>
      <c r="B20" s="1" t="inlineStr">
        <is>
          <t>Quiz Question</t>
        </is>
      </c>
      <c r="C20" s="1" t="inlineStr">
        <is>
          <t>S04 Atualização de Status de 60 segundos: Precisa de Ajuda Resposta: Sim</t>
        </is>
      </c>
      <c r="D20" s="23" t="n">
        <v>5</v>
      </c>
      <c r="E20" s="23" t="n">
        <v>2</v>
      </c>
      <c r="G20" s="2" t="n"/>
      <c r="H20" s="2" t="inlineStr">
        <is>
          <t>y</t>
        </is>
      </c>
      <c r="I20" s="26">
        <f>DATE(YEAR(Setup!$C$4),MONTH(Setup!$C$4),DAY(Setup!$C$4)+((D20-1)*7)+(E20-WEEKDAY(DATE(YEAR(Setup!$C$4),MONTH(Setup!$C$4),DAY(Setup!$C$4)),1)))</f>
        <v/>
      </c>
      <c r="J20" s="26">
        <f>I20+3</f>
        <v/>
      </c>
      <c r="K20" s="26">
        <f>(I20 + (7 - WEEKDAY(I20,1))) + 1</f>
        <v/>
      </c>
      <c r="L20" s="23">
        <f>F20*G20</f>
        <v/>
      </c>
      <c r="M20" s="1" t="inlineStr">
        <is>
          <t>Resposta à Atualização de Status de 60 segundos da W04. O aluno se sente sobrecarregado.</t>
        </is>
      </c>
      <c r="N20" s="1" t="inlineStr">
        <is>
          <t>O estudante respondeu que está se sentindo sobrecarregado na Atualização de Status de 60 segundos da W04. Entre em contato com o estudante para ver como você pode ajudar.</t>
        </is>
      </c>
    </row>
    <row r="21">
      <c r="A21" s="1" t="inlineStr">
        <is>
          <t>WDD330</t>
        </is>
      </c>
      <c r="B21" s="1" t="inlineStr">
        <is>
          <t>Grader-Issued 0</t>
        </is>
      </c>
      <c r="C21" s="1" t="inlineStr">
        <is>
          <t>S04 Projeto Final: Proposta</t>
        </is>
      </c>
      <c r="D21" s="23" t="n">
        <v>5</v>
      </c>
      <c r="E21" s="23" t="n">
        <v>4</v>
      </c>
      <c r="F21" s="1" t="n">
        <v>20</v>
      </c>
      <c r="G21" s="2" t="n"/>
      <c r="H21" s="2" t="inlineStr">
        <is>
          <t>y</t>
        </is>
      </c>
      <c r="I21" s="26">
        <f>DATE(YEAR(Setup!$C$4),MONTH(Setup!$C$4),DAY(Setup!$C$4)+((D21-1)*7)+(E21-WEEKDAY(DATE(YEAR(Setup!$C$4),MONTH(Setup!$C$4),DAY(Setup!$C$4)),1)))</f>
        <v/>
      </c>
      <c r="J21" s="26">
        <f>I21+3</f>
        <v/>
      </c>
      <c r="K21" s="26">
        <f>(I21 + (7 - WEEKDAY(I21,1))) + 1</f>
        <v/>
      </c>
      <c r="L21" s="23">
        <f>F21*G21</f>
        <v/>
      </c>
      <c r="M21" s="1" t="inlineStr">
        <is>
          <t>O aluno recebeu uma nota 0 atribuída pelo avaliador no Projeto Final da W04: Proposta de Aplicativo</t>
        </is>
      </c>
      <c r="N21" s="44" t="inlineStr">
        <is>
          <t>O avaliador atribuiu nota 0 para o Projeto Final W04: Proposta de Aplicativo. Faça login no Canvas e veja os comentários do avaliador. Trabalhe com o aluno para ajudá-lo a reenviar.</t>
        </is>
      </c>
    </row>
    <row r="22" customFormat="1" s="79">
      <c r="A22" s="1" t="inlineStr">
        <is>
          <t>WDD330</t>
        </is>
      </c>
      <c r="B22" s="1" t="inlineStr">
        <is>
          <t>Scheduled - Classwide</t>
        </is>
      </c>
      <c r="C22" s="1" t="inlineStr">
        <is>
          <t>Lembrete de Matrícula 1</t>
        </is>
      </c>
      <c r="D22" s="23" t="n">
        <v>5</v>
      </c>
      <c r="E22" s="23" t="n">
        <v>4</v>
      </c>
      <c r="F22" s="1" t="n"/>
      <c r="G22" s="2" t="n"/>
      <c r="H22" s="2" t="n"/>
      <c r="I22" s="26">
        <f>DATE(YEAR(Setup!$C$4),MONTH(Setup!$C$4),DAY(Setup!$C$4)+((D22-1)*7)+(E22-WEEKDAY(DATE(YEAR(Setup!$C$4),MONTH(Setup!$C$4),DAY(Setup!$C$4)),1)))</f>
        <v/>
      </c>
      <c r="J22" s="26">
        <f>I22+3</f>
        <v/>
      </c>
      <c r="K22" s="26">
        <f>(I22 + (7 - WEEKDAY(I22,1))) + 1</f>
        <v/>
      </c>
      <c r="L22" s="23">
        <f>F22*G22</f>
        <v/>
      </c>
      <c r="M22" s="1" t="inlineStr">
        <is>
          <t>Lembrete de Matrícula 1</t>
        </is>
      </c>
      <c r="N22" s="43" t="inlineStr">
        <is>
          <t>Envie uma mensagem para todos os alunos, lembrando-os de que as inscrições para o próximo bloco já estão abertas e incentivando-os a agir.</t>
        </is>
      </c>
    </row>
    <row r="23" ht="15.95" customHeight="1">
      <c r="A23" s="1" t="inlineStr">
        <is>
          <t>WDD330</t>
        </is>
      </c>
      <c r="B23" s="1" t="inlineStr">
        <is>
          <t>High Performance</t>
        </is>
      </c>
      <c r="C23" s="1" t="inlineStr">
        <is>
          <t>S04 Projeto Final: Proposta</t>
        </is>
      </c>
      <c r="D23" s="23" t="n">
        <v>5</v>
      </c>
      <c r="E23" s="23" t="n">
        <v>5</v>
      </c>
      <c r="F23" s="1" t="n">
        <v>20</v>
      </c>
      <c r="G23" s="2" t="n">
        <v>0.9</v>
      </c>
      <c r="H23" s="2" t="inlineStr">
        <is>
          <t>y</t>
        </is>
      </c>
      <c r="I23" s="26">
        <f>DATE(YEAR(Setup!$C$4),MONTH(Setup!$C$4),DAY(Setup!$C$4)+((D23-1)*7)+(E23-WEEKDAY(DATE(YEAR(Setup!$C$4),MONTH(Setup!$C$4),DAY(Setup!$C$4)),1)))</f>
        <v/>
      </c>
      <c r="J23" s="26">
        <f>I23+3</f>
        <v/>
      </c>
      <c r="K23" s="26">
        <f>(I23 + (7 - WEEKDAY(I23,1))) + 1</f>
        <v/>
      </c>
      <c r="L23" s="23">
        <f>F23*G23</f>
        <v/>
      </c>
      <c r="M23" s="1" t="inlineStr">
        <is>
          <t>Alto Desempenho: Projeto Final da W04: Proposta de Aplicativo</t>
        </is>
      </c>
      <c r="N23" s="3" t="inlineStr">
        <is>
          <t>Fornecer feedback positivo no Projeto Final da W04: Proposta de Aplicativo</t>
        </is>
      </c>
    </row>
    <row r="24" ht="15.95" customHeight="1">
      <c r="A24" s="1" t="inlineStr">
        <is>
          <t>WDD330</t>
        </is>
      </c>
      <c r="B24" s="1" t="inlineStr">
        <is>
          <t>Low Performance</t>
        </is>
      </c>
      <c r="C24" s="1" t="inlineStr">
        <is>
          <t>S04 Projeto Final: Proposta</t>
        </is>
      </c>
      <c r="D24" s="23" t="n">
        <v>5</v>
      </c>
      <c r="E24" s="23" t="n">
        <v>5</v>
      </c>
      <c r="F24" s="1" t="n">
        <v>20</v>
      </c>
      <c r="G24" s="2" t="n">
        <v>0.7</v>
      </c>
      <c r="H24" s="2" t="inlineStr">
        <is>
          <t>y</t>
        </is>
      </c>
      <c r="I24" s="26">
        <f>DATE(YEAR(Setup!$C$4),MONTH(Setup!$C$4),DAY(Setup!$C$4)+((D24-1)*7)+(E24-WEEKDAY(DATE(YEAR(Setup!$C$4),MONTH(Setup!$C$4),DAY(Setup!$C$4)),1)))</f>
        <v/>
      </c>
      <c r="J24" s="26">
        <f>I24+3</f>
        <v/>
      </c>
      <c r="K24" s="26">
        <f>(I24 + (7 - WEEKDAY(I24,1))) + 1</f>
        <v/>
      </c>
      <c r="L24" s="23">
        <f>F24*G24</f>
        <v/>
      </c>
      <c r="M24" s="1" t="inlineStr">
        <is>
          <t>Baixo desempenho: Projeto Final W04: Application Proposal</t>
        </is>
      </c>
      <c r="N24" s="3" t="inlineStr">
        <is>
          <t>Em risco. O aluno pontuou abaixo de 70% no Projeto Final da W04: Proposta de Aplicativo. Entre em contato para ver como pode ajudar.</t>
        </is>
      </c>
    </row>
    <row r="25">
      <c r="A25" s="1" t="inlineStr">
        <is>
          <t>WDD330</t>
        </is>
      </c>
      <c r="B25" s="1" t="inlineStr">
        <is>
          <t>Missing Assignment</t>
        </is>
      </c>
      <c r="C25" s="1" t="inlineStr">
        <is>
          <t>S04 Tarefa(s) Individual(is): Relatório</t>
        </is>
      </c>
      <c r="D25" s="23" t="n">
        <v>6</v>
      </c>
      <c r="E25" s="23" t="n">
        <v>2</v>
      </c>
      <c r="F25" s="1" t="n">
        <v>10</v>
      </c>
      <c r="G25" s="2" t="n"/>
      <c r="H25" s="2" t="inlineStr">
        <is>
          <t>y</t>
        </is>
      </c>
      <c r="I25" s="26">
        <f>DATE(YEAR(Setup!$C$4),MONTH(Setup!$C$4),DAY(Setup!$C$4)+((D25-1)*7)+(E25-WEEKDAY(DATE(YEAR(Setup!$C$4),MONTH(Setup!$C$4),DAY(Setup!$C$4)),1)))</f>
        <v/>
      </c>
      <c r="J25" s="26">
        <f>I25+3</f>
        <v/>
      </c>
      <c r="K25" s="26">
        <f>(I25 + (7 - WEEKDAY(I25,1))) + 1</f>
        <v/>
      </c>
      <c r="L25" s="23">
        <f>F25*G25</f>
        <v/>
      </c>
      <c r="M25" s="1" t="inlineStr">
        <is>
          <t>Tarefa Pendente: W04 Tarefa(s) Individual(is): Relatório</t>
        </is>
      </c>
      <c r="N25" s="1" t="inlineStr">
        <is>
          <t>Entre em contato com o aluno que não entregou a(s) Tarefa(s) Individual(ais) da W04: Relatório</t>
        </is>
      </c>
    </row>
    <row r="26">
      <c r="A26" s="1" t="inlineStr">
        <is>
          <t>WDD330</t>
        </is>
      </c>
      <c r="B26" s="1" t="inlineStr">
        <is>
          <t>Quiz Question</t>
        </is>
      </c>
      <c r="C26" s="1" t="inlineStr">
        <is>
          <t>S05 Atualização de Status de 60 segundos: Precisa de Ajuda Resposta: Sim</t>
        </is>
      </c>
      <c r="D26" s="23" t="n">
        <v>6</v>
      </c>
      <c r="E26" s="23" t="n">
        <v>2</v>
      </c>
      <c r="G26" s="2" t="n"/>
      <c r="H26" s="2" t="inlineStr">
        <is>
          <t>y</t>
        </is>
      </c>
      <c r="I26" s="26">
        <f>DATE(YEAR(Setup!$C$4),MONTH(Setup!$C$4),DAY(Setup!$C$4)+((D26-1)*7)+(E26-WEEKDAY(DATE(YEAR(Setup!$C$4),MONTH(Setup!$C$4),DAY(Setup!$C$4)),1)))</f>
        <v/>
      </c>
      <c r="J26" s="26">
        <f>I26+3</f>
        <v/>
      </c>
      <c r="K26" s="26">
        <f>(I26 + (7 - WEEKDAY(I26,1))) + 1</f>
        <v/>
      </c>
      <c r="L26" s="23">
        <f>F26*G26</f>
        <v/>
      </c>
      <c r="M26" s="1" t="inlineStr">
        <is>
          <t>Resposta à Atualização de Status de 60 segundos da W05. O aluno se sente sobrecarregado.</t>
        </is>
      </c>
      <c r="N26" s="1" t="inlineStr">
        <is>
          <t>O aluno respondeu que está se sentindo sobrecarregado na Atualização de Status de 60 segundos da W05. Entre em contato com o aluno para ver como pode ajudar.</t>
        </is>
      </c>
    </row>
    <row r="27">
      <c r="A27" s="1" t="inlineStr">
        <is>
          <t>WDD330</t>
        </is>
      </c>
      <c r="B27" s="1" t="inlineStr">
        <is>
          <t>Grader-Issued 0</t>
        </is>
      </c>
      <c r="C27" s="1" t="inlineStr">
        <is>
          <t>S04 Tarefa(s) Individual(is): Relatório</t>
        </is>
      </c>
      <c r="D27" s="23" t="n">
        <v>6</v>
      </c>
      <c r="E27" s="23" t="n">
        <v>4</v>
      </c>
      <c r="F27" s="1" t="n">
        <v>10</v>
      </c>
      <c r="G27" s="2" t="n"/>
      <c r="H27" s="2" t="inlineStr">
        <is>
          <t>y</t>
        </is>
      </c>
      <c r="I27" s="26">
        <f>DATE(YEAR(Setup!$C$4),MONTH(Setup!$C$4),DAY(Setup!$C$4)+((D27-1)*7)+(E27-WEEKDAY(DATE(YEAR(Setup!$C$4),MONTH(Setup!$C$4),DAY(Setup!$C$4)),1)))</f>
        <v/>
      </c>
      <c r="J27" s="26">
        <f>I27+3</f>
        <v/>
      </c>
      <c r="K27" s="26">
        <f>(I27 + (7 - WEEKDAY(I27,1))) + 1</f>
        <v/>
      </c>
      <c r="L27" s="23">
        <f>F27*G27</f>
        <v/>
      </c>
      <c r="M27" s="1" t="inlineStr">
        <is>
          <t>O aluno recebeu uma nota 0 atribuída pelo avaliador na(s) Tarefa(s) Individual(ais) da W04: Relatório</t>
        </is>
      </c>
      <c r="N27" s="44" t="inlineStr">
        <is>
          <t>O avaliador atribuiu nota 0 para as Tarefas Individuais da W04: Report. Acesse o Canvas e veja os comentários do avaliador. Trabalhe com o estudante para ajudá-lo a enviar novamente.</t>
        </is>
      </c>
    </row>
    <row r="28">
      <c r="A28" s="1" t="inlineStr">
        <is>
          <t>WDD330</t>
        </is>
      </c>
      <c r="B28" s="1" t="inlineStr">
        <is>
          <t>Low Performance</t>
        </is>
      </c>
      <c r="C28" s="1" t="inlineStr">
        <is>
          <t>S04 Tarefa(s) Individual(is): Relatório</t>
        </is>
      </c>
      <c r="D28" s="23" t="n">
        <v>6</v>
      </c>
      <c r="E28" s="23" t="n">
        <v>5</v>
      </c>
      <c r="F28" s="1" t="n">
        <v>10</v>
      </c>
      <c r="G28" s="2" t="n">
        <v>0.7</v>
      </c>
      <c r="H28" s="2" t="inlineStr">
        <is>
          <t>y</t>
        </is>
      </c>
      <c r="I28" s="26">
        <f>DATE(YEAR(Setup!$C$4),MONTH(Setup!$C$4),DAY(Setup!$C$4)+((D28-1)*7)+(E28-WEEKDAY(DATE(YEAR(Setup!$C$4),MONTH(Setup!$C$4),DAY(Setup!$C$4)),1)))</f>
        <v/>
      </c>
      <c r="J28" s="26">
        <f>I28+3</f>
        <v/>
      </c>
      <c r="K28" s="26">
        <f>(I28 + (7 - WEEKDAY(I28,1))) + 1</f>
        <v/>
      </c>
      <c r="L28" s="23">
        <f>F28*G28</f>
        <v/>
      </c>
      <c r="M28" s="1" t="inlineStr">
        <is>
          <t>Baixo Desempenho: Tarefa(s) Individual(is) da W04: Relatório</t>
        </is>
      </c>
      <c r="N28" s="1" t="inlineStr">
        <is>
          <t>Em risco. O aluno obteve nota abaixo de 70% na(s) Tarefa(s) Individual(ais) da W04: Relatório. Entre em contato para ver como você pode ajudar.</t>
        </is>
      </c>
    </row>
    <row r="29">
      <c r="A29" s="1" t="inlineStr">
        <is>
          <t>WDD330</t>
        </is>
      </c>
      <c r="B29" s="1" t="inlineStr">
        <is>
          <t>Scheduled - Classwide</t>
        </is>
      </c>
      <c r="C29" s="1" t="inlineStr">
        <is>
          <t>Lembrete de Matrícula 2</t>
        </is>
      </c>
      <c r="D29" s="23" t="n">
        <v>7</v>
      </c>
      <c r="E29" s="23" t="n">
        <v>1</v>
      </c>
      <c r="G29" s="2" t="n"/>
      <c r="H29" s="2" t="n"/>
      <c r="I29" s="26">
        <f>DATE(YEAR(Setup!$C$4),MONTH(Setup!$C$4),DAY(Setup!$C$4)+((D29-1)*7)+(E29-WEEKDAY(DATE(YEAR(Setup!$C$4),MONTH(Setup!$C$4),DAY(Setup!$C$4)),1)))</f>
        <v/>
      </c>
      <c r="J29" s="26">
        <f>I29+3</f>
        <v/>
      </c>
      <c r="K29" s="26">
        <f>(I29 + (7 - WEEKDAY(I29,1))) + 1</f>
        <v/>
      </c>
      <c r="L29" s="23">
        <f>F29*G29</f>
        <v/>
      </c>
      <c r="M29" s="1" t="inlineStr">
        <is>
          <t>Lembrete de Matrícula 2</t>
        </is>
      </c>
      <c r="N29" s="43" t="inlineStr">
        <is>
          <t>Envie uma mensagem a todos os alunos, lembrando-os de que as inscrições para o próximo bloco ainda estão abertas, mas serão encerradas em breve. Incentive-os a acessar o sistema e se inscrever o quanto antes.</t>
        </is>
      </c>
    </row>
    <row r="30">
      <c r="A30" s="1" t="inlineStr">
        <is>
          <t>WDD330</t>
        </is>
      </c>
      <c r="B30" s="1" t="inlineStr">
        <is>
          <t>Scheduled - Classwide</t>
        </is>
      </c>
      <c r="C30" s="1" t="inlineStr">
        <is>
          <t>Lembrete de Fim de Bloco</t>
        </is>
      </c>
      <c r="D30" s="23" t="n">
        <v>7</v>
      </c>
      <c r="E30" s="23" t="n">
        <v>2</v>
      </c>
      <c r="G30" s="2" t="n"/>
      <c r="H30" s="2" t="n"/>
      <c r="I30" s="26">
        <f>DATE(YEAR(Setup!$C$4),MONTH(Setup!$C$4),DAY(Setup!$C$4)+((D30-1)*7)+(E30-WEEKDAY(DATE(YEAR(Setup!$C$4),MONTH(Setup!$C$4),DAY(Setup!$C$4)),1)))</f>
        <v/>
      </c>
      <c r="J30" s="26">
        <f>I30+3</f>
        <v/>
      </c>
      <c r="K30" s="26">
        <f>(I30 + (7 - WEEKDAY(I30,1))) + 1</f>
        <v/>
      </c>
      <c r="L30" s="23">
        <f>F30*G30</f>
        <v/>
      </c>
      <c r="M30" s="1" t="inlineStr">
        <is>
          <t>Lembrete de Fim de Bloco</t>
        </is>
      </c>
      <c r="N30" s="44" t="inlineStr">
        <is>
          <t>Lembre os alunos de que o curso será encerrado, para enviarem as tarefas dentro do prazo e preencherem a Avaliação de Fim de Curso</t>
        </is>
      </c>
    </row>
    <row r="31">
      <c r="G31" s="2" t="n"/>
      <c r="H31" s="2" t="n"/>
      <c r="I31" s="26">
        <f>DATE(YEAR(Setup!$C$4),MONTH(Setup!$C$4),DAY(Setup!$C$4)+((D31-1)*7)+(E31-WEEKDAY(DATE(YEAR(Setup!$C$4),MONTH(Setup!$C$4),DAY(Setup!$C$4)),1)))</f>
        <v/>
      </c>
      <c r="J31" s="26">
        <f>I31+3</f>
        <v/>
      </c>
      <c r="K31" s="26">
        <f>(I31 + (7 - WEEKDAY(I31,1))) + 1</f>
        <v/>
      </c>
      <c r="L31" s="23">
        <f>F31*G31</f>
        <v/>
      </c>
    </row>
    <row r="32">
      <c r="B32" s="3" t="n"/>
      <c r="G32" s="2" t="n"/>
      <c r="H32" s="2" t="n"/>
      <c r="I32" s="26">
        <f>DATE(YEAR(Setup!$C$4),MONTH(Setup!$C$4),DAY(Setup!$C$4)+((D32-1)*7)+(E32-WEEKDAY(DATE(YEAR(Setup!$C$4),MONTH(Setup!$C$4),DAY(Setup!$C$4)),1)))</f>
        <v/>
      </c>
      <c r="J32" s="26">
        <f>I32+3</f>
        <v/>
      </c>
      <c r="K32" s="26">
        <f>(I32 + (7 - WEEKDAY(I32,1))) + 1</f>
        <v/>
      </c>
      <c r="L32" s="23">
        <f>F32*G32</f>
        <v/>
      </c>
    </row>
    <row r="33">
      <c r="G33" s="2" t="n"/>
      <c r="H33" s="2" t="n"/>
      <c r="I33" s="26">
        <f>DATE(YEAR(Setup!$C$4),MONTH(Setup!$C$4),DAY(Setup!$C$4)+((D33-1)*7)+(E33-WEEKDAY(DATE(YEAR(Setup!$C$4),MONTH(Setup!$C$4),DAY(Setup!$C$4)),1)))</f>
        <v/>
      </c>
      <c r="J33" s="26">
        <f>I33+3</f>
        <v/>
      </c>
      <c r="K33" s="26">
        <f>(I33 + (7 - WEEKDAY(I33,1))) + 1</f>
        <v/>
      </c>
      <c r="L33" s="23">
        <f>F33*G33</f>
        <v/>
      </c>
    </row>
    <row r="34">
      <c r="G34" s="2" t="n"/>
      <c r="H34" s="2" t="n"/>
      <c r="I34" s="26">
        <f>DATE(YEAR(Setup!$C$4),MONTH(Setup!$C$4),DAY(Setup!$C$4)+((D34-1)*7)+(E34-WEEKDAY(DATE(YEAR(Setup!$C$4),MONTH(Setup!$C$4),DAY(Setup!$C$4)),1)))</f>
        <v/>
      </c>
      <c r="J34" s="26">
        <f>I34+3</f>
        <v/>
      </c>
      <c r="K34" s="26">
        <f>(I34 + (7 - WEEKDAY(I34,1))) + 1</f>
        <v/>
      </c>
      <c r="L34" s="23">
        <f>F34*G34</f>
        <v/>
      </c>
    </row>
    <row r="35">
      <c r="G35" s="2" t="n"/>
      <c r="H35" s="2" t="n"/>
      <c r="I35" s="26">
        <f>DATE(YEAR(Setup!$C$4),MONTH(Setup!$C$4),DAY(Setup!$C$4)+((D35-1)*7)+(E35-WEEKDAY(DATE(YEAR(Setup!$C$4),MONTH(Setup!$C$4),DAY(Setup!$C$4)),1)))</f>
        <v/>
      </c>
      <c r="J35" s="26">
        <f>I35+3</f>
        <v/>
      </c>
      <c r="K35" s="26">
        <f>(I35 + (7 - WEEKDAY(I35,1))) + 1</f>
        <v/>
      </c>
      <c r="L35" s="23">
        <f>F35*G35</f>
        <v/>
      </c>
    </row>
    <row r="36">
      <c r="G36" s="2" t="n"/>
      <c r="H36" s="2" t="n"/>
      <c r="I36" s="26">
        <f>DATE(YEAR(Setup!$C$4),MONTH(Setup!$C$4),DAY(Setup!$C$4)+((D36-1)*7)+(E36-WEEKDAY(DATE(YEAR(Setup!$C$4),MONTH(Setup!$C$4),DAY(Setup!$C$4)),1)))</f>
        <v/>
      </c>
      <c r="J36" s="26">
        <f>I36+3</f>
        <v/>
      </c>
      <c r="K36" s="26">
        <f>(I36 + (7 - WEEKDAY(I36,1))) + 1</f>
        <v/>
      </c>
      <c r="L36" s="23">
        <f>F36*G36</f>
        <v/>
      </c>
    </row>
    <row r="37">
      <c r="G37" s="2" t="n"/>
      <c r="H37" s="2" t="n"/>
      <c r="I37" s="26">
        <f>DATE(YEAR(Setup!$C$4),MONTH(Setup!$C$4),DAY(Setup!$C$4)+((D37-1)*7)+(E37-WEEKDAY(DATE(YEAR(Setup!$C$4),MONTH(Setup!$C$4),DAY(Setup!$C$4)),1)))</f>
        <v/>
      </c>
      <c r="J37" s="26">
        <f>I37+3</f>
        <v/>
      </c>
      <c r="K37" s="26">
        <f>(I37 + (7 - WEEKDAY(I37,1))) + 1</f>
        <v/>
      </c>
      <c r="L37" s="23">
        <f>F37*G37</f>
        <v/>
      </c>
    </row>
    <row r="38">
      <c r="G38" s="2" t="n"/>
      <c r="H38" s="2" t="n"/>
      <c r="I38" s="26">
        <f>DATE(YEAR(Setup!$C$4),MONTH(Setup!$C$4),DAY(Setup!$C$4)+((D38-1)*7)+(E38-WEEKDAY(DATE(YEAR(Setup!$C$4),MONTH(Setup!$C$4),DAY(Setup!$C$4)),1)))</f>
        <v/>
      </c>
      <c r="J38" s="26">
        <f>I38+3</f>
        <v/>
      </c>
      <c r="K38" s="26">
        <f>(I38 + (7 - WEEKDAY(I38,1))) + 1</f>
        <v/>
      </c>
      <c r="L38" s="23">
        <f>F38*G38</f>
        <v/>
      </c>
    </row>
    <row r="39">
      <c r="G39" s="2" t="n"/>
      <c r="H39" s="2" t="n"/>
      <c r="I39" s="26">
        <f>DATE(YEAR(Setup!$C$4),MONTH(Setup!$C$4),DAY(Setup!$C$4)+((D39-1)*7)+(E39-WEEKDAY(DATE(YEAR(Setup!$C$4),MONTH(Setup!$C$4),DAY(Setup!$C$4)),1)))</f>
        <v/>
      </c>
      <c r="J39" s="26">
        <f>I39+3</f>
        <v/>
      </c>
      <c r="K39" s="26">
        <f>(I39 + (7 - WEEKDAY(I39,1))) + 1</f>
        <v/>
      </c>
      <c r="L39" s="23">
        <f>F39*G39</f>
        <v/>
      </c>
    </row>
    <row r="40">
      <c r="G40" s="2" t="n"/>
      <c r="H40" s="2" t="n"/>
      <c r="I40" s="26">
        <f>DATE(YEAR(Setup!$C$4),MONTH(Setup!$C$4),DAY(Setup!$C$4)+((D40-1)*7)+(E40-WEEKDAY(DATE(YEAR(Setup!$C$4),MONTH(Setup!$C$4),DAY(Setup!$C$4)),1)))</f>
        <v/>
      </c>
      <c r="J40" s="26">
        <f>I40+3</f>
        <v/>
      </c>
      <c r="K40" s="26">
        <f>(I40 + (7 - WEEKDAY(I40,1))) + 1</f>
        <v/>
      </c>
      <c r="L40" s="23">
        <f>F40*G40</f>
        <v/>
      </c>
    </row>
    <row r="41">
      <c r="G41" s="2" t="n"/>
      <c r="H41" s="2" t="n"/>
      <c r="I41" s="26">
        <f>DATE(YEAR(Setup!$C$4),MONTH(Setup!$C$4),DAY(Setup!$C$4)+((D41-1)*7)+(E41-WEEKDAY(DATE(YEAR(Setup!$C$4),MONTH(Setup!$C$4),DAY(Setup!$C$4)),1)))</f>
        <v/>
      </c>
      <c r="J41" s="26">
        <f>I41+3</f>
        <v/>
      </c>
      <c r="K41" s="26">
        <f>(I41 + (7 - WEEKDAY(I41,1))) + 1</f>
        <v/>
      </c>
      <c r="L41" s="23">
        <f>F41*G41</f>
        <v/>
      </c>
    </row>
    <row r="42">
      <c r="G42" s="2" t="n"/>
      <c r="H42" s="2" t="n"/>
      <c r="I42" s="26">
        <f>DATE(YEAR(Setup!$C$4),MONTH(Setup!$C$4),DAY(Setup!$C$4)+((D42-1)*7)+(E42-WEEKDAY(DATE(YEAR(Setup!$C$4),MONTH(Setup!$C$4),DAY(Setup!$C$4)),1)))</f>
        <v/>
      </c>
      <c r="J42" s="26">
        <f>I42+3</f>
        <v/>
      </c>
      <c r="K42" s="26">
        <f>(I42 + (7 - WEEKDAY(I42,1))) + 1</f>
        <v/>
      </c>
      <c r="L42" s="23">
        <f>F42*G42</f>
        <v/>
      </c>
    </row>
    <row r="43">
      <c r="G43" s="2" t="n"/>
      <c r="H43" s="2" t="n"/>
      <c r="I43" s="26">
        <f>DATE(YEAR(Setup!$C$4),MONTH(Setup!$C$4),DAY(Setup!$C$4)+((D43-1)*7)+(E43-WEEKDAY(DATE(YEAR(Setup!$C$4),MONTH(Setup!$C$4),DAY(Setup!$C$4)),1)))</f>
        <v/>
      </c>
      <c r="J43" s="26">
        <f>I43+3</f>
        <v/>
      </c>
      <c r="K43" s="26">
        <f>(I43 + (7 - WEEKDAY(I43,1))) + 1</f>
        <v/>
      </c>
      <c r="L43" s="23">
        <f>F43*G43</f>
        <v/>
      </c>
    </row>
    <row r="44">
      <c r="G44" s="2" t="n"/>
      <c r="H44" s="2" t="n"/>
      <c r="I44" s="26">
        <f>DATE(YEAR(Setup!$C$4),MONTH(Setup!$C$4),DAY(Setup!$C$4)+((D44-1)*7)+(E44-WEEKDAY(DATE(YEAR(Setup!$C$4),MONTH(Setup!$C$4),DAY(Setup!$C$4)),1)))</f>
        <v/>
      </c>
      <c r="J44" s="26">
        <f>I44+3</f>
        <v/>
      </c>
      <c r="K44" s="26">
        <f>(I44 + (7 - WEEKDAY(I44,1))) + 1</f>
        <v/>
      </c>
      <c r="L44" s="23">
        <f>F44*G44</f>
        <v/>
      </c>
    </row>
    <row r="45">
      <c r="G45" s="2" t="n"/>
      <c r="H45" s="2" t="n"/>
      <c r="I45" s="26">
        <f>DATE(YEAR(Setup!$C$4),MONTH(Setup!$C$4),DAY(Setup!$C$4)+((D45-1)*7)+(E45-WEEKDAY(DATE(YEAR(Setup!$C$4),MONTH(Setup!$C$4),DAY(Setup!$C$4)),1)))</f>
        <v/>
      </c>
      <c r="J45" s="26">
        <f>I45+3</f>
        <v/>
      </c>
      <c r="K45" s="26">
        <f>(I45 + (7 - WEEKDAY(I45,1))) + 1</f>
        <v/>
      </c>
      <c r="L45" s="23">
        <f>F45*G45</f>
        <v/>
      </c>
    </row>
    <row r="46">
      <c r="G46" s="2" t="n"/>
      <c r="H46" s="2" t="n"/>
      <c r="I46" s="26">
        <f>DATE(YEAR(Setup!$C$4),MONTH(Setup!$C$4),DAY(Setup!$C$4)+((D46-1)*7)+(E46-WEEKDAY(DATE(YEAR(Setup!$C$4),MONTH(Setup!$C$4),DAY(Setup!$C$4)),1)))</f>
        <v/>
      </c>
      <c r="J46" s="26">
        <f>I46+3</f>
        <v/>
      </c>
      <c r="K46" s="26">
        <f>(I46 + (7 - WEEKDAY(I46,1))) + 1</f>
        <v/>
      </c>
      <c r="L46" s="23">
        <f>F46*G46</f>
        <v/>
      </c>
    </row>
    <row r="47">
      <c r="G47" s="2" t="n"/>
      <c r="H47" s="2" t="n"/>
      <c r="I47" s="26">
        <f>DATE(YEAR(Setup!$C$4),MONTH(Setup!$C$4),DAY(Setup!$C$4)+((D47-1)*7)+(E47-WEEKDAY(DATE(YEAR(Setup!$C$4),MONTH(Setup!$C$4),DAY(Setup!$C$4)),1)))</f>
        <v/>
      </c>
      <c r="J47" s="26">
        <f>I47+3</f>
        <v/>
      </c>
      <c r="K47" s="26">
        <f>(I47 + (7 - WEEKDAY(I47,1))) + 1</f>
        <v/>
      </c>
      <c r="L47" s="23">
        <f>F47*G47</f>
        <v/>
      </c>
    </row>
    <row r="48">
      <c r="G48" s="2" t="n"/>
      <c r="H48" s="2" t="n"/>
      <c r="I48" s="26">
        <f>DATE(YEAR(Setup!$C$4),MONTH(Setup!$C$4),DAY(Setup!$C$4)+((D48-1)*7)+(E48-WEEKDAY(DATE(YEAR(Setup!$C$4),MONTH(Setup!$C$4),DAY(Setup!$C$4)),1)))</f>
        <v/>
      </c>
      <c r="J48" s="26">
        <f>I48+3</f>
        <v/>
      </c>
      <c r="K48" s="26">
        <f>(I48 + (7 - WEEKDAY(I48,1))) + 1</f>
        <v/>
      </c>
      <c r="L48" s="23">
        <f>F48*G48</f>
        <v/>
      </c>
    </row>
    <row r="49">
      <c r="G49" s="2" t="n"/>
      <c r="H49" s="2" t="n"/>
      <c r="I49" s="26">
        <f>DATE(YEAR(Setup!$C$4),MONTH(Setup!$C$4),DAY(Setup!$C$4)+((D49-1)*7)+(E49-WEEKDAY(DATE(YEAR(Setup!$C$4),MONTH(Setup!$C$4),DAY(Setup!$C$4)),1)))</f>
        <v/>
      </c>
      <c r="J49" s="26">
        <f>I49+3</f>
        <v/>
      </c>
      <c r="K49" s="26">
        <f>(I49 + (7 - WEEKDAY(I49,1))) + 1</f>
        <v/>
      </c>
      <c r="L49" s="23">
        <f>F49*G49</f>
        <v/>
      </c>
    </row>
    <row r="50">
      <c r="G50" s="2" t="n"/>
      <c r="H50" s="2" t="n"/>
      <c r="I50" s="26">
        <f>DATE(YEAR(Setup!$C$4),MONTH(Setup!$C$4),DAY(Setup!$C$4)+((D50-1)*7)+(E50-WEEKDAY(DATE(YEAR(Setup!$C$4),MONTH(Setup!$C$4),DAY(Setup!$C$4)),1)))</f>
        <v/>
      </c>
      <c r="J50" s="26">
        <f>I50+3</f>
        <v/>
      </c>
      <c r="K50" s="26">
        <f>(I50 + (7 - WEEKDAY(I50,1))) + 1</f>
        <v/>
      </c>
      <c r="L50" s="23">
        <f>F50*G50</f>
        <v/>
      </c>
    </row>
    <row r="51">
      <c r="G51" s="2" t="n"/>
      <c r="H51" s="2" t="n"/>
      <c r="I51" s="26">
        <f>DATE(YEAR(Setup!$C$4),MONTH(Setup!$C$4),DAY(Setup!$C$4)+((D51-1)*7)+(E51-WEEKDAY(DATE(YEAR(Setup!$C$4),MONTH(Setup!$C$4),DAY(Setup!$C$4)),1)))</f>
        <v/>
      </c>
      <c r="J51" s="26">
        <f>I51+3</f>
        <v/>
      </c>
      <c r="K51" s="26">
        <f>(I51 + (7 - WEEKDAY(I51,1))) + 1</f>
        <v/>
      </c>
      <c r="L51" s="23">
        <f>F51*G51</f>
        <v/>
      </c>
    </row>
    <row r="52">
      <c r="G52" s="2" t="n"/>
      <c r="H52" s="2" t="n"/>
      <c r="I52" s="26">
        <f>DATE(YEAR(Setup!$C$4),MONTH(Setup!$C$4),DAY(Setup!$C$4)+((D52-1)*7)+(E52-WEEKDAY(DATE(YEAR(Setup!$C$4),MONTH(Setup!$C$4),DAY(Setup!$C$4)),1)))</f>
        <v/>
      </c>
      <c r="J52" s="26">
        <f>I52+3</f>
        <v/>
      </c>
      <c r="K52" s="26">
        <f>(I52 + (7 - WEEKDAY(I52,1))) + 1</f>
        <v/>
      </c>
      <c r="L52" s="23">
        <f>F52*G52</f>
        <v/>
      </c>
    </row>
    <row r="53">
      <c r="G53" s="2" t="n"/>
      <c r="H53" s="2" t="n"/>
      <c r="I53" s="26">
        <f>DATE(YEAR(Setup!$C$4),MONTH(Setup!$C$4),DAY(Setup!$C$4)+((D53-1)*7)+(E53-WEEKDAY(DATE(YEAR(Setup!$C$4),MONTH(Setup!$C$4),DAY(Setup!$C$4)),1)))</f>
        <v/>
      </c>
      <c r="J53" s="26">
        <f>I53+3</f>
        <v/>
      </c>
      <c r="K53" s="26">
        <f>(I53 + (7 - WEEKDAY(I53,1))) + 1</f>
        <v/>
      </c>
      <c r="L53" s="23">
        <f>F53*G53</f>
        <v/>
      </c>
    </row>
    <row r="54">
      <c r="G54" s="2" t="n"/>
      <c r="H54" s="2" t="n"/>
      <c r="I54" s="26">
        <f>DATE(YEAR(Setup!$C$4),MONTH(Setup!$C$4),DAY(Setup!$C$4)+((D54-1)*7)+(E54-WEEKDAY(DATE(YEAR(Setup!$C$4),MONTH(Setup!$C$4),DAY(Setup!$C$4)),1)))</f>
        <v/>
      </c>
      <c r="J54" s="26">
        <f>I54+3</f>
        <v/>
      </c>
      <c r="K54" s="26">
        <f>(I54 + (7 - WEEKDAY(I54,1))) + 1</f>
        <v/>
      </c>
      <c r="L54" s="23">
        <f>F54*G54</f>
        <v/>
      </c>
    </row>
    <row r="55">
      <c r="G55" s="2" t="n"/>
      <c r="H55" s="2" t="n"/>
      <c r="I55" s="26">
        <f>DATE(YEAR(Setup!$C$4),MONTH(Setup!$C$4),DAY(Setup!$C$4)+((D55-1)*7)+(E55-WEEKDAY(DATE(YEAR(Setup!$C$4),MONTH(Setup!$C$4),DAY(Setup!$C$4)),1)))</f>
        <v/>
      </c>
      <c r="J55" s="26">
        <f>I55+3</f>
        <v/>
      </c>
      <c r="K55" s="26">
        <f>(I55 + (7 - WEEKDAY(I55,1))) + 1</f>
        <v/>
      </c>
      <c r="L55" s="23">
        <f>F55*G55</f>
        <v/>
      </c>
    </row>
    <row r="56">
      <c r="G56" s="2" t="n"/>
      <c r="H56" s="2" t="n"/>
      <c r="I56" s="26">
        <f>DATE(YEAR(Setup!$C$4),MONTH(Setup!$C$4),DAY(Setup!$C$4)+((D56-1)*7)+(E56-WEEKDAY(DATE(YEAR(Setup!$C$4),MONTH(Setup!$C$4),DAY(Setup!$C$4)),1)))</f>
        <v/>
      </c>
      <c r="J56" s="26">
        <f>I56+3</f>
        <v/>
      </c>
      <c r="K56" s="26">
        <f>(I56 + (7 - WEEKDAY(I56,1))) + 1</f>
        <v/>
      </c>
      <c r="L56" s="23">
        <f>F56*G56</f>
        <v/>
      </c>
    </row>
    <row r="57">
      <c r="G57" s="2" t="n"/>
      <c r="H57" s="2" t="n"/>
      <c r="I57" s="26">
        <f>DATE(YEAR(Setup!$C$4),MONTH(Setup!$C$4),DAY(Setup!$C$4)+((D57-1)*7)+(E57-WEEKDAY(DATE(YEAR(Setup!$C$4),MONTH(Setup!$C$4),DAY(Setup!$C$4)),1)))</f>
        <v/>
      </c>
      <c r="J57" s="26">
        <f>I57+3</f>
        <v/>
      </c>
      <c r="K57" s="26">
        <f>(I57 + (7 - WEEKDAY(I57,1))) + 1</f>
        <v/>
      </c>
      <c r="L57" s="23">
        <f>F57*G57</f>
        <v/>
      </c>
    </row>
    <row r="58">
      <c r="G58" s="2" t="n"/>
      <c r="H58" s="2" t="n"/>
      <c r="I58" s="26">
        <f>DATE(YEAR(Setup!$C$4),MONTH(Setup!$C$4),DAY(Setup!$C$4)+((D58-1)*7)+(E58-WEEKDAY(DATE(YEAR(Setup!$C$4),MONTH(Setup!$C$4),DAY(Setup!$C$4)),1)))</f>
        <v/>
      </c>
      <c r="J58" s="26">
        <f>I58+3</f>
        <v/>
      </c>
      <c r="K58" s="26">
        <f>(I58 + (7 - WEEKDAY(I58,1))) + 1</f>
        <v/>
      </c>
      <c r="L58" s="23">
        <f>F58*G58</f>
        <v/>
      </c>
    </row>
    <row r="59">
      <c r="G59" s="2" t="n"/>
      <c r="H59" s="2" t="n"/>
      <c r="I59" s="26">
        <f>DATE(YEAR(Setup!$C$4),MONTH(Setup!$C$4),DAY(Setup!$C$4)+((D59-1)*7)+(E59-WEEKDAY(DATE(YEAR(Setup!$C$4),MONTH(Setup!$C$4),DAY(Setup!$C$4)),1)))</f>
        <v/>
      </c>
      <c r="J59" s="26">
        <f>I59+3</f>
        <v/>
      </c>
      <c r="K59" s="26">
        <f>(I59 + (7 - WEEKDAY(I59,1))) + 1</f>
        <v/>
      </c>
      <c r="L59" s="23">
        <f>F59*G59</f>
        <v/>
      </c>
    </row>
    <row r="60">
      <c r="G60" s="2" t="n"/>
      <c r="H60" s="2" t="n"/>
      <c r="I60" s="26">
        <f>DATE(YEAR(Setup!$C$4),MONTH(Setup!$C$4),DAY(Setup!$C$4)+((D60-1)*7)+(E60-WEEKDAY(DATE(YEAR(Setup!$C$4),MONTH(Setup!$C$4),DAY(Setup!$C$4)),1)))</f>
        <v/>
      </c>
      <c r="J60" s="26">
        <f>I60+3</f>
        <v/>
      </c>
      <c r="K60" s="26">
        <f>(I60 + (7 - WEEKDAY(I60,1))) + 1</f>
        <v/>
      </c>
      <c r="L60" s="23">
        <f>F60*G60</f>
        <v/>
      </c>
    </row>
    <row r="61">
      <c r="G61" s="2" t="n"/>
      <c r="H61" s="2" t="n"/>
      <c r="I61" s="26">
        <f>DATE(YEAR(Setup!$C$4),MONTH(Setup!$C$4),DAY(Setup!$C$4)+((D61-1)*7)+(E61-WEEKDAY(DATE(YEAR(Setup!$C$4),MONTH(Setup!$C$4),DAY(Setup!$C$4)),1)))</f>
        <v/>
      </c>
      <c r="J61" s="26">
        <f>I61+3</f>
        <v/>
      </c>
      <c r="K61" s="26">
        <f>(I61 + (7 - WEEKDAY(I61,1))) + 1</f>
        <v/>
      </c>
      <c r="L61" s="23">
        <f>F61*G61</f>
        <v/>
      </c>
    </row>
    <row r="62">
      <c r="G62" s="2" t="n"/>
      <c r="H62" s="2" t="n"/>
      <c r="I62" s="26">
        <f>DATE(YEAR(Setup!$C$4),MONTH(Setup!$C$4),DAY(Setup!$C$4)+((D62-1)*7)+(E62-WEEKDAY(DATE(YEAR(Setup!$C$4),MONTH(Setup!$C$4),DAY(Setup!$C$4)),1)))</f>
        <v/>
      </c>
      <c r="J62" s="26">
        <f>I62+3</f>
        <v/>
      </c>
      <c r="K62" s="26">
        <f>(I62 + (7 - WEEKDAY(I62,1))) + 1</f>
        <v/>
      </c>
      <c r="L62" s="23">
        <f>F62*G62</f>
        <v/>
      </c>
    </row>
    <row r="63">
      <c r="G63" s="2" t="n"/>
      <c r="H63" s="2" t="n"/>
      <c r="I63" s="26">
        <f>DATE(YEAR(Setup!$C$4),MONTH(Setup!$C$4),DAY(Setup!$C$4)+((D63-1)*7)+(E63-WEEKDAY(DATE(YEAR(Setup!$C$4),MONTH(Setup!$C$4),DAY(Setup!$C$4)),1)))</f>
        <v/>
      </c>
      <c r="J63" s="26">
        <f>I63+3</f>
        <v/>
      </c>
      <c r="K63" s="26">
        <f>(I63 + (7 - WEEKDAY(I63,1))) + 1</f>
        <v/>
      </c>
      <c r="L63" s="23">
        <f>F63*G63</f>
        <v/>
      </c>
    </row>
    <row r="64">
      <c r="G64" s="2" t="n"/>
      <c r="H64" s="2" t="n"/>
      <c r="I64" s="26">
        <f>DATE(YEAR(Setup!$C$4),MONTH(Setup!$C$4),DAY(Setup!$C$4)+((D64-1)*7)+(E64-WEEKDAY(DATE(YEAR(Setup!$C$4),MONTH(Setup!$C$4),DAY(Setup!$C$4)),1)))</f>
        <v/>
      </c>
      <c r="J64" s="26">
        <f>I64+3</f>
        <v/>
      </c>
      <c r="K64" s="26">
        <f>(I64 + (7 - WEEKDAY(I64,1))) + 1</f>
        <v/>
      </c>
      <c r="L64" s="23">
        <f>F64*G64</f>
        <v/>
      </c>
    </row>
    <row r="65">
      <c r="G65" s="2" t="n"/>
      <c r="H65" s="2" t="n"/>
      <c r="I65" s="26">
        <f>DATE(YEAR(Setup!$C$4),MONTH(Setup!$C$4),DAY(Setup!$C$4)+((D65-1)*7)+(E65-WEEKDAY(DATE(YEAR(Setup!$C$4),MONTH(Setup!$C$4),DAY(Setup!$C$4)),1)))</f>
        <v/>
      </c>
      <c r="J65" s="26">
        <f>I65+3</f>
        <v/>
      </c>
      <c r="K65" s="26">
        <f>(I65 + (7 - WEEKDAY(I65,1))) + 1</f>
        <v/>
      </c>
      <c r="L65" s="23">
        <f>F65*G65</f>
        <v/>
      </c>
    </row>
    <row r="66">
      <c r="G66" s="2" t="n"/>
      <c r="H66" s="2" t="n"/>
      <c r="I66" s="26">
        <f>DATE(YEAR(Setup!$C$4),MONTH(Setup!$C$4),DAY(Setup!$C$4)+((D66-1)*7)+(E66-WEEKDAY(DATE(YEAR(Setup!$C$4),MONTH(Setup!$C$4),DAY(Setup!$C$4)),1)))</f>
        <v/>
      </c>
      <c r="J66" s="26">
        <f>I66+3</f>
        <v/>
      </c>
      <c r="K66" s="26">
        <f>(I66 + (7 - WEEKDAY(I66,1))) + 1</f>
        <v/>
      </c>
      <c r="L66" s="23">
        <f>F66*G66</f>
        <v/>
      </c>
    </row>
    <row r="67">
      <c r="G67" s="2" t="n"/>
      <c r="H67" s="2" t="n"/>
      <c r="I67" s="26">
        <f>DATE(YEAR(Setup!$C$4),MONTH(Setup!$C$4),DAY(Setup!$C$4)+((D67-1)*7)+(E67-WEEKDAY(DATE(YEAR(Setup!$C$4),MONTH(Setup!$C$4),DAY(Setup!$C$4)),1)))</f>
        <v/>
      </c>
      <c r="J67" s="26">
        <f>I67+3</f>
        <v/>
      </c>
      <c r="K67" s="26">
        <f>(I67 + (7 - WEEKDAY(I67,1))) + 1</f>
        <v/>
      </c>
      <c r="L67" s="23">
        <f>F67*G67</f>
        <v/>
      </c>
    </row>
    <row r="68">
      <c r="G68" s="2" t="n"/>
      <c r="H68" s="2" t="n"/>
      <c r="I68" s="26">
        <f>DATE(YEAR(Setup!$C$4),MONTH(Setup!$C$4),DAY(Setup!$C$4)+((D68-1)*7)+(E68-WEEKDAY(DATE(YEAR(Setup!$C$4),MONTH(Setup!$C$4),DAY(Setup!$C$4)),1)))</f>
        <v/>
      </c>
      <c r="J68" s="26">
        <f>I68+3</f>
        <v/>
      </c>
      <c r="K68" s="26">
        <f>(I68 + (7 - WEEKDAY(I68,1))) + 1</f>
        <v/>
      </c>
      <c r="L68" s="23">
        <f>F68*G68</f>
        <v/>
      </c>
    </row>
    <row r="69">
      <c r="G69" s="2" t="n"/>
      <c r="H69" s="2" t="n"/>
      <c r="I69" s="26">
        <f>DATE(YEAR(Setup!$C$4),MONTH(Setup!$C$4),DAY(Setup!$C$4)+((D69-1)*7)+(E69-WEEKDAY(DATE(YEAR(Setup!$C$4),MONTH(Setup!$C$4),DAY(Setup!$C$4)),1)))</f>
        <v/>
      </c>
      <c r="J69" s="26">
        <f>I69+3</f>
        <v/>
      </c>
      <c r="K69" s="26">
        <f>(I69 + (7 - WEEKDAY(I69,1))) + 1</f>
        <v/>
      </c>
      <c r="L69" s="23">
        <f>F69*G69</f>
        <v/>
      </c>
    </row>
    <row r="70">
      <c r="G70" s="2" t="n"/>
      <c r="H70" s="2" t="n"/>
      <c r="I70" s="26">
        <f>DATE(YEAR(Setup!$C$4),MONTH(Setup!$C$4),DAY(Setup!$C$4)+((D70-1)*7)+(E70-WEEKDAY(DATE(YEAR(Setup!$C$4),MONTH(Setup!$C$4),DAY(Setup!$C$4)),1)))</f>
        <v/>
      </c>
      <c r="J70" s="26">
        <f>I70+3</f>
        <v/>
      </c>
      <c r="K70" s="26">
        <f>(I70 + (7 - WEEKDAY(I70,1))) + 1</f>
        <v/>
      </c>
      <c r="L70" s="23">
        <f>F70*G70</f>
        <v/>
      </c>
    </row>
    <row r="71">
      <c r="G71" s="2" t="n"/>
      <c r="H71" s="2" t="n"/>
      <c r="I71" s="26">
        <f>DATE(YEAR(Setup!$C$4),MONTH(Setup!$C$4),DAY(Setup!$C$4)+((D71-1)*7)+(E71-WEEKDAY(DATE(YEAR(Setup!$C$4),MONTH(Setup!$C$4),DAY(Setup!$C$4)),1)))</f>
        <v/>
      </c>
      <c r="J71" s="26">
        <f>I71+3</f>
        <v/>
      </c>
      <c r="K71" s="26">
        <f>(I71 + (7 - WEEKDAY(I71,1))) + 1</f>
        <v/>
      </c>
      <c r="L71" s="23">
        <f>F71*G71</f>
        <v/>
      </c>
    </row>
    <row r="72">
      <c r="G72" s="2" t="n"/>
      <c r="H72" s="2" t="n"/>
      <c r="I72" s="26">
        <f>DATE(YEAR(Setup!$C$4),MONTH(Setup!$C$4),DAY(Setup!$C$4)+((D72-1)*7)+(E72-WEEKDAY(DATE(YEAR(Setup!$C$4),MONTH(Setup!$C$4),DAY(Setup!$C$4)),1)))</f>
        <v/>
      </c>
      <c r="J72" s="26">
        <f>I72+3</f>
        <v/>
      </c>
      <c r="K72" s="26">
        <f>(I72 + (7 - WEEKDAY(I72,1))) + 1</f>
        <v/>
      </c>
      <c r="L72" s="23">
        <f>F72*G72</f>
        <v/>
      </c>
    </row>
    <row r="73">
      <c r="G73" s="2" t="n"/>
      <c r="H73" s="2" t="n"/>
      <c r="I73" s="26">
        <f>DATE(YEAR(Setup!$C$4),MONTH(Setup!$C$4),DAY(Setup!$C$4)+((D73-1)*7)+(E73-WEEKDAY(DATE(YEAR(Setup!$C$4),MONTH(Setup!$C$4),DAY(Setup!$C$4)),1)))</f>
        <v/>
      </c>
      <c r="J73" s="26">
        <f>I73+3</f>
        <v/>
      </c>
      <c r="K73" s="26">
        <f>(I73 + (7 - WEEKDAY(I73,1))) + 1</f>
        <v/>
      </c>
      <c r="L73" s="23">
        <f>F73*G73</f>
        <v/>
      </c>
    </row>
    <row r="74">
      <c r="G74" s="2" t="n"/>
      <c r="H74" s="2" t="n"/>
      <c r="I74" s="26">
        <f>DATE(YEAR(Setup!$C$4),MONTH(Setup!$C$4),DAY(Setup!$C$4)+((D74-1)*7)+(E74-WEEKDAY(DATE(YEAR(Setup!$C$4),MONTH(Setup!$C$4),DAY(Setup!$C$4)),1)))</f>
        <v/>
      </c>
      <c r="J74" s="26">
        <f>I74+3</f>
        <v/>
      </c>
      <c r="K74" s="26">
        <f>(I74 + (7 - WEEKDAY(I74,1))) + 1</f>
        <v/>
      </c>
      <c r="L74" s="23">
        <f>F74*G74</f>
        <v/>
      </c>
    </row>
    <row r="75">
      <c r="G75" s="2" t="n"/>
      <c r="H75" s="2" t="n"/>
      <c r="I75" s="26">
        <f>DATE(YEAR(Setup!$C$4),MONTH(Setup!$C$4),DAY(Setup!$C$4)+((D75-1)*7)+(E75-WEEKDAY(DATE(YEAR(Setup!$C$4),MONTH(Setup!$C$4),DAY(Setup!$C$4)),1)))</f>
        <v/>
      </c>
      <c r="J75" s="26">
        <f>I75+3</f>
        <v/>
      </c>
      <c r="K75" s="26">
        <f>(I75 + (7 - WEEKDAY(I75,1))) + 1</f>
        <v/>
      </c>
      <c r="L75" s="23">
        <f>F75*G75</f>
        <v/>
      </c>
    </row>
    <row r="76">
      <c r="G76" s="2" t="n"/>
      <c r="H76" s="2" t="n"/>
      <c r="I76" s="26">
        <f>DATE(YEAR(Setup!$C$4),MONTH(Setup!$C$4),DAY(Setup!$C$4)+((D76-1)*7)+(E76-WEEKDAY(DATE(YEAR(Setup!$C$4),MONTH(Setup!$C$4),DAY(Setup!$C$4)),1)))</f>
        <v/>
      </c>
      <c r="J76" s="26">
        <f>I76+3</f>
        <v/>
      </c>
      <c r="K76" s="26">
        <f>(I76 + (7 - WEEKDAY(I76,1))) + 1</f>
        <v/>
      </c>
      <c r="L76" s="23">
        <f>F76*G76</f>
        <v/>
      </c>
    </row>
    <row r="77">
      <c r="G77" s="2" t="n"/>
      <c r="H77" s="2" t="n"/>
      <c r="I77" s="26">
        <f>DATE(YEAR(Setup!$C$4),MONTH(Setup!$C$4),DAY(Setup!$C$4)+((D77-1)*7)+(E77-WEEKDAY(DATE(YEAR(Setup!$C$4),MONTH(Setup!$C$4),DAY(Setup!$C$4)),1)))</f>
        <v/>
      </c>
      <c r="J77" s="26">
        <f>I77+3</f>
        <v/>
      </c>
      <c r="K77" s="26">
        <f>(I77 + (7 - WEEKDAY(I77,1))) + 1</f>
        <v/>
      </c>
      <c r="L77" s="23">
        <f>F77*G77</f>
        <v/>
      </c>
    </row>
    <row r="78">
      <c r="G78" s="2" t="n"/>
      <c r="H78" s="2" t="n"/>
      <c r="I78" s="26">
        <f>DATE(YEAR(Setup!$C$4),MONTH(Setup!$C$4),DAY(Setup!$C$4)+((D78-1)*7)+(E78-WEEKDAY(DATE(YEAR(Setup!$C$4),MONTH(Setup!$C$4),DAY(Setup!$C$4)),1)))</f>
        <v/>
      </c>
      <c r="J78" s="26">
        <f>I78+3</f>
        <v/>
      </c>
      <c r="K78" s="26">
        <f>(I78 + (7 - WEEKDAY(I78,1))) + 1</f>
        <v/>
      </c>
      <c r="L78" s="23">
        <f>F78*G78</f>
        <v/>
      </c>
    </row>
  </sheetData>
  <sheetProtection selectLockedCells="1" selectUnlockedCells="0" algorithmName="SHA-512" sheet="1" objects="0" insertRows="0" insertHyperlinks="1" autoFilter="0" scenarios="0" formatColumns="1" deleteColumns="1" insertColumns="1" pivotTables="1" deleteRows="0" formatCells="0" saltValue="lYJjAfLk+quPZwpiWmz7eQ==" formatRows="0" sort="0" spinCount="100000" hashValue="A/U3xK3ChBYuAFfcGoO/7lehNn4uMO2esrCAXc0IMhaHWY1EFDv17DOTCN9/RG0NJI+Ood7Zjz3rX08lbVf22w=="/>
  <autoFilter ref="A1:N78"/>
  <dataValidations count="3">
    <dataValidation sqref="B2:B1048576" showDropDown="0" showInputMessage="1" showErrorMessage="1" allowBlank="1" type="list">
      <formula1>DV_B</formula1>
    </dataValidation>
    <dataValidation sqref="D2:D1048576" showDropDown="0" showInputMessage="1" showErrorMessage="1" allowBlank="1" type="list">
      <formula1>DV_D</formula1>
    </dataValidation>
    <dataValidation sqref="E2:E1048576" showDropDown="0" showInputMessage="1" showErrorMessage="1" allowBlank="1" type="list">
      <formula1>DV_E</formula1>
    </dataValidation>
  </dataValidations>
  <pageMargins left="0.7" right="0.7" top="0.75" bottom="0.75" header="0.3" footer="0.3"/>
</worksheet>
</file>

<file path=xl/worksheets/sheet22.xml><?xml version="1.0" encoding="utf-8"?>
<worksheet xmlns="http://schemas.openxmlformats.org/spreadsheetml/2006/main">
  <sheetPr codeName="Sheet20">
    <tabColor theme="5" tint="0.7999816888943144"/>
    <outlinePr summaryBelow="1" summaryRight="1"/>
    <pageSetUpPr/>
  </sheetPr>
  <dimension ref="A1:M73"/>
  <sheetViews>
    <sheetView topLeftCell="C19" workbookViewId="0">
      <selection activeCell="B14" sqref="B14"/>
    </sheetView>
  </sheetViews>
  <sheetFormatPr baseColWidth="8" defaultColWidth="9.140625" defaultRowHeight="15"/>
  <cols>
    <col width="14.85546875" customWidth="1" style="1" min="1" max="1"/>
    <col width="24.28515625" customWidth="1" style="1" min="2" max="2"/>
    <col width="48" customWidth="1" style="1" min="3" max="3"/>
    <col width="14.42578125" customWidth="1" style="23" min="4" max="4"/>
    <col width="14" customWidth="1" style="23" min="5" max="6"/>
    <col width="14.140625" customWidth="1" style="23" min="7" max="7"/>
    <col hidden="1" width="20.85546875" customWidth="1" style="1" min="8" max="8"/>
    <col hidden="1" width="16.42578125" customWidth="1" style="1" min="9" max="9"/>
    <col hidden="1" width="17.7109375" customWidth="1" style="1" min="10" max="10"/>
    <col hidden="1" width="12.85546875" customWidth="1" style="1" min="11" max="11"/>
    <col width="36.85546875" customWidth="1" style="1" min="12" max="12"/>
    <col width="153" customWidth="1" style="1" min="13" max="13"/>
    <col width="9.140625" customWidth="1" style="1" min="14" max="16384"/>
  </cols>
  <sheetData>
    <row r="1" ht="30" customFormat="1" customHeight="1" s="5">
      <c r="A1" s="5" t="inlineStr">
        <is>
          <t>Course</t>
        </is>
      </c>
      <c r="B1" s="5" t="inlineStr">
        <is>
          <t>Action Type</t>
        </is>
      </c>
      <c r="C1" s="5" t="inlineStr">
        <is>
          <t>Assignment</t>
        </is>
      </c>
      <c r="D1" s="5" t="inlineStr">
        <is>
          <t>Week of
Outreach</t>
        </is>
      </c>
      <c r="E1" s="5" t="inlineStr">
        <is>
          <t>Day of
Outreach</t>
        </is>
      </c>
      <c r="F1" s="5" t="inlineStr">
        <is>
          <t>Points
Possible</t>
        </is>
      </c>
      <c r="G1" s="5" t="inlineStr">
        <is>
          <t>% + or - for
Outreach</t>
        </is>
      </c>
      <c r="H1" s="5" t="inlineStr">
        <is>
          <t xml:space="preserve">Start Date </t>
        </is>
      </c>
      <c r="I1" s="5" t="inlineStr">
        <is>
          <t>Due Date</t>
        </is>
      </c>
      <c r="J1" s="5" t="inlineStr">
        <is>
          <t>Expire Date</t>
        </is>
      </c>
      <c r="K1" s="5" t="inlineStr">
        <is>
          <t>Score</t>
        </is>
      </c>
      <c r="L1" s="5" t="inlineStr">
        <is>
          <t>Reason for Outreach Title (Drop Down in IMS)</t>
        </is>
      </c>
      <c r="M1" s="25" t="inlineStr">
        <is>
          <t>Description/Prompt in IMS</t>
        </is>
      </c>
    </row>
    <row r="2">
      <c r="A2" s="1" t="inlineStr">
        <is>
          <t>PC101</t>
        </is>
      </c>
      <c r="B2" s="1" t="inlineStr">
        <is>
          <t>Missing Assignment</t>
        </is>
      </c>
      <c r="C2" s="1" t="inlineStr">
        <is>
          <t>Week 1: 2+ Missing Assignments</t>
        </is>
      </c>
      <c r="D2" s="23" t="n">
        <v>2</v>
      </c>
      <c r="E2" s="23" t="n">
        <v>1</v>
      </c>
      <c r="G2" s="24" t="n"/>
      <c r="H2" s="6" t="n"/>
      <c r="I2" s="6">
        <f>H2+3</f>
        <v/>
      </c>
      <c r="J2" s="6">
        <f>(H2 + (7 - WEEKDAY(H2,1))) + 1</f>
        <v/>
      </c>
      <c r="K2" s="7">
        <f>F2*G2</f>
        <v/>
      </c>
      <c r="L2" s="1" t="inlineStr">
        <is>
          <t>Missing 2+ W01 Assignments</t>
        </is>
      </c>
      <c r="M2" s="8" t="inlineStr">
        <is>
          <t>Missing Assignments:
 &lt; list of assignments &gt;
Send a message to check in with this student and encourage timely submission of the missing assignments.</t>
        </is>
      </c>
    </row>
    <row r="3">
      <c r="A3" s="1" t="inlineStr">
        <is>
          <t>PC101</t>
        </is>
      </c>
      <c r="B3" s="1" t="inlineStr">
        <is>
          <t>Missing Assignment</t>
        </is>
      </c>
      <c r="C3" s="1" t="inlineStr">
        <is>
          <t>W01 Gathering</t>
        </is>
      </c>
      <c r="D3" s="23" t="n">
        <v>2</v>
      </c>
      <c r="E3" s="23" t="n">
        <v>1</v>
      </c>
      <c r="G3" s="24" t="n"/>
      <c r="H3" s="6" t="n"/>
      <c r="I3" s="6">
        <f>H3+3</f>
        <v/>
      </c>
      <c r="J3" s="6">
        <f>(H3 + (7 - WEEKDAY(H3,1))) + 1</f>
        <v/>
      </c>
      <c r="K3" s="7">
        <f>F3*G3</f>
        <v/>
      </c>
      <c r="L3" s="1" t="inlineStr">
        <is>
          <t>Missing W01 Gathering</t>
        </is>
      </c>
      <c r="M3" s="8" t="inlineStr">
        <is>
          <t>Missing Assignment: W01 Gathering. Send a message to check in with this student and encourage timely submission of the missing assignment.</t>
        </is>
      </c>
    </row>
    <row r="4">
      <c r="A4" s="1" t="inlineStr">
        <is>
          <t>PC101</t>
        </is>
      </c>
      <c r="B4" s="1" t="inlineStr">
        <is>
          <t>Missing Assignment</t>
        </is>
      </c>
      <c r="C4" s="1" t="inlineStr">
        <is>
          <t>W01 Quiz: Check My Preparations</t>
        </is>
      </c>
      <c r="D4" s="23" t="n">
        <v>2</v>
      </c>
      <c r="E4" s="23" t="n">
        <v>1</v>
      </c>
      <c r="G4" s="24" t="n"/>
      <c r="H4" s="6" t="n"/>
      <c r="I4" s="6">
        <f>H4+3</f>
        <v/>
      </c>
      <c r="J4" s="6">
        <f>(H4 + (7 - WEEKDAY(H4,1))) + 1</f>
        <v/>
      </c>
      <c r="K4" s="7">
        <f>F4*G4</f>
        <v/>
      </c>
      <c r="L4" s="1" t="inlineStr">
        <is>
          <t>Missing W01 Quiz: Check My Preparations</t>
        </is>
      </c>
      <c r="M4" s="8" t="inlineStr">
        <is>
          <t>Missing Assignment: W01 Quiz: Check My Preparations. Send a message to check in with this student and encourage timely submission of the missing assignment.</t>
        </is>
      </c>
    </row>
    <row r="5">
      <c r="A5" s="1" t="inlineStr">
        <is>
          <t>PC101</t>
        </is>
      </c>
      <c r="B5" s="1" t="inlineStr">
        <is>
          <t>Missing Assignment</t>
        </is>
      </c>
      <c r="C5" s="1" t="inlineStr">
        <is>
          <t>Week 2: 2+ Missing Assignments</t>
        </is>
      </c>
      <c r="D5" s="23" t="n">
        <v>3</v>
      </c>
      <c r="E5" s="23" t="n">
        <v>1</v>
      </c>
      <c r="G5" s="24" t="n"/>
      <c r="H5" s="6" t="n"/>
      <c r="I5" s="6">
        <f>H5+3</f>
        <v/>
      </c>
      <c r="J5" s="6">
        <f>(H5 + (7 - WEEKDAY(H5,1))) + 1</f>
        <v/>
      </c>
      <c r="K5" s="7">
        <f>F5*G5</f>
        <v/>
      </c>
      <c r="L5" s="1" t="inlineStr">
        <is>
          <t>Missing 2+ W02 Assignments</t>
        </is>
      </c>
      <c r="M5" s="8" t="inlineStr">
        <is>
          <t>Missing Assignments:
 &lt; list of assignments &gt;
Send a message to check in with this student and encourage timely submission of the missing assignments.</t>
        </is>
      </c>
    </row>
    <row r="6" ht="32.1" customHeight="1">
      <c r="A6" s="1" t="inlineStr">
        <is>
          <t>PC101</t>
        </is>
      </c>
      <c r="B6" s="1" t="inlineStr">
        <is>
          <t>Low Performance</t>
        </is>
      </c>
      <c r="C6" s="3" t="inlineStr">
        <is>
          <t>W03 Math Quiz</t>
        </is>
      </c>
      <c r="D6" s="23" t="n">
        <v>5</v>
      </c>
      <c r="E6" s="23" t="n">
        <v>1</v>
      </c>
      <c r="F6" s="23" t="n">
        <v>39</v>
      </c>
      <c r="G6" s="24" t="n">
        <v>0.85</v>
      </c>
      <c r="H6" s="6" t="n"/>
      <c r="I6" s="6">
        <f>H6+3</f>
        <v/>
      </c>
      <c r="J6" s="6">
        <f>(H6 + (7 - WEEKDAY(H6,1))) + 1</f>
        <v/>
      </c>
      <c r="K6" s="7">
        <f>F6*G6</f>
        <v/>
      </c>
      <c r="L6" s="1" t="inlineStr">
        <is>
          <t>Low Performance Predicted: Math Exam 1</t>
        </is>
      </c>
      <c r="M6" s="9" t="inlineStr">
        <is>
          <t>This student scored less than 85% on the W03 Math Quiz. Send a message to this student offering some form of help so he/she can be more successful on the upcoming Math Exam. For ideas, see Tips for Math Outreach resource.</t>
        </is>
      </c>
    </row>
    <row r="7" ht="32.1" customHeight="1">
      <c r="A7" s="1" t="inlineStr">
        <is>
          <t>PC101</t>
        </is>
      </c>
      <c r="B7" s="1" t="inlineStr">
        <is>
          <t>Low Performance</t>
        </is>
      </c>
      <c r="C7" s="1" t="inlineStr">
        <is>
          <t>W02 Application Activity: Basic Paragraph</t>
        </is>
      </c>
      <c r="D7" s="23" t="n">
        <v>4</v>
      </c>
      <c r="E7" s="23" t="n">
        <v>1</v>
      </c>
      <c r="F7" s="23" t="n">
        <v>40</v>
      </c>
      <c r="G7" s="24" t="n">
        <v>0.85</v>
      </c>
      <c r="H7" s="6" t="n"/>
      <c r="I7" s="6">
        <f>H7+3</f>
        <v/>
      </c>
      <c r="J7" s="6">
        <f>(H7 + (7 - WEEKDAY(H7,1))) + 1</f>
        <v/>
      </c>
      <c r="K7" s="7">
        <f>F7*G7</f>
        <v/>
      </c>
      <c r="L7" s="1" t="inlineStr">
        <is>
          <t>Low Performance Predicted: Basic Essay</t>
        </is>
      </c>
      <c r="M7" s="9" t="inlineStr">
        <is>
          <t>This student scored less than 85% on the W02 Application Activity: Basic Paragraph. Send a message to this student offering some form of help so he/she can be more successful on the upcoming W04 Application Activity: Basic Essay assignment. For ideas see Tips for Writing Outreach resource.</t>
        </is>
      </c>
    </row>
    <row r="8" ht="32.1" customHeight="1">
      <c r="A8" s="1" t="inlineStr">
        <is>
          <t>PC101</t>
        </is>
      </c>
      <c r="B8" s="1" t="inlineStr">
        <is>
          <t>Low Performance</t>
        </is>
      </c>
      <c r="C8" s="1" t="inlineStr">
        <is>
          <t>W04 Application Activity: Basic Essay</t>
        </is>
      </c>
      <c r="D8" s="23" t="n">
        <v>5</v>
      </c>
      <c r="E8" s="23" t="n">
        <v>4</v>
      </c>
      <c r="F8" s="23" t="n">
        <v>80</v>
      </c>
      <c r="G8" s="24" t="n">
        <v>0.85</v>
      </c>
      <c r="H8" s="6" t="n"/>
      <c r="I8" s="6">
        <f>H8+3</f>
        <v/>
      </c>
      <c r="J8" s="6">
        <f>(H8 + (7 - WEEKDAY(H8,1))) + 1</f>
        <v/>
      </c>
      <c r="K8" s="7">
        <f>F8*G8</f>
        <v/>
      </c>
      <c r="L8" s="1" t="inlineStr">
        <is>
          <t>Low Performance: Basic Essay</t>
        </is>
      </c>
      <c r="M8" s="9" t="inlineStr">
        <is>
          <t>This student scored less than 85% on the W04 Application Activity: Basic Essay. Send a message to this student offering some form of help so he/she can resubmit and be more successful on this assignment. For ideas see Tips for Writing Outreach resource.</t>
        </is>
      </c>
    </row>
    <row r="9" ht="32.1" customHeight="1">
      <c r="A9" s="1" t="inlineStr">
        <is>
          <t>PC101</t>
        </is>
      </c>
      <c r="B9" s="1" t="inlineStr">
        <is>
          <t>Low Performance</t>
        </is>
      </c>
      <c r="C9" s="1" t="inlineStr">
        <is>
          <t>Math Exam 1: Parts 1, 2, and 3</t>
        </is>
      </c>
      <c r="D9" s="23" t="n">
        <v>6</v>
      </c>
      <c r="E9" s="23" t="n">
        <v>1</v>
      </c>
      <c r="F9" s="23" t="n">
        <v>100</v>
      </c>
      <c r="G9" s="24" t="n">
        <v>0.85</v>
      </c>
      <c r="H9" s="6" t="n"/>
      <c r="I9" s="6">
        <f>H9+3</f>
        <v/>
      </c>
      <c r="J9" s="6">
        <f>(H9 + (7 - WEEKDAY(H9,1))) + 1</f>
        <v/>
      </c>
      <c r="K9" s="7">
        <f>F9*G9</f>
        <v/>
      </c>
      <c r="L9" s="1" t="inlineStr">
        <is>
          <t>Low Performance: Math Exam 1</t>
        </is>
      </c>
      <c r="M9" s="9" t="inlineStr">
        <is>
          <t>This student scored less than 85% on the Math Exam 1. Send a message to this student offering some form of help so he/she can retake this exam and be more successful on it. For ideas, see Tips for Math Outreach resource.</t>
        </is>
      </c>
    </row>
    <row r="10" ht="15.95" customHeight="1">
      <c r="A10" s="1" t="inlineStr">
        <is>
          <t>PC101</t>
        </is>
      </c>
      <c r="B10" s="1" t="inlineStr">
        <is>
          <t>High Performance</t>
        </is>
      </c>
      <c r="C10" s="1" t="inlineStr">
        <is>
          <t>W02 Application Activity: Basic Paragraph</t>
        </is>
      </c>
      <c r="D10" s="23" t="n">
        <v>3</v>
      </c>
      <c r="E10" s="23" t="n">
        <v>4</v>
      </c>
      <c r="F10" s="23" t="n">
        <v>40</v>
      </c>
      <c r="G10" s="24" t="n">
        <v>0.85</v>
      </c>
      <c r="H10" s="6" t="n"/>
      <c r="I10" s="6">
        <f>H10+3</f>
        <v/>
      </c>
      <c r="J10" s="6">
        <f>(H10 + (7 - WEEKDAY(H10,1))) + 1</f>
        <v/>
      </c>
      <c r="K10" s="7">
        <f>F10*G10</f>
        <v/>
      </c>
      <c r="L10" s="1" t="inlineStr">
        <is>
          <t>High Performance: Basic Paragraph</t>
        </is>
      </c>
      <c r="M10" s="9" t="inlineStr">
        <is>
          <t>This student scored 85% or higher on the W02 Application Activity: Basic Paragraph. Send a message of praise and encouragement for effort and good performance on this assignment.</t>
        </is>
      </c>
    </row>
    <row r="11">
      <c r="A11" s="1" t="inlineStr">
        <is>
          <t>PC101</t>
        </is>
      </c>
      <c r="B11" s="1" t="inlineStr">
        <is>
          <t>High Performance</t>
        </is>
      </c>
      <c r="C11" s="1" t="inlineStr">
        <is>
          <t>W03 Math Quiz</t>
        </is>
      </c>
      <c r="D11" s="23" t="n">
        <v>4</v>
      </c>
      <c r="E11" s="23" t="n">
        <v>4</v>
      </c>
      <c r="F11" s="23" t="n">
        <v>39</v>
      </c>
      <c r="G11" s="24" t="n">
        <v>0.85</v>
      </c>
      <c r="H11" s="6" t="n"/>
      <c r="I11" s="6">
        <f>H11+3</f>
        <v/>
      </c>
      <c r="J11" s="6">
        <f>(H11 + (7 - WEEKDAY(H11,1))) + 1</f>
        <v/>
      </c>
      <c r="K11" s="7">
        <f>F11*G11</f>
        <v/>
      </c>
      <c r="L11" s="1" t="inlineStr">
        <is>
          <t>High Performance: Math Quiz</t>
        </is>
      </c>
      <c r="M11" s="8" t="inlineStr">
        <is>
          <t>This student scored 85% or higher on the W03 Math Quiz. Send a message of praise and encouragement for effort and good performance on this assignment.</t>
        </is>
      </c>
    </row>
    <row r="12" ht="15.95" customHeight="1">
      <c r="A12" s="1" t="inlineStr">
        <is>
          <t>PC101</t>
        </is>
      </c>
      <c r="B12" s="1" t="inlineStr">
        <is>
          <t>High Performance</t>
        </is>
      </c>
      <c r="C12" s="1" t="inlineStr">
        <is>
          <t>W04 Application Activity: Basic Essay</t>
        </is>
      </c>
      <c r="D12" s="23" t="n">
        <v>5</v>
      </c>
      <c r="E12" s="23" t="n">
        <v>4</v>
      </c>
      <c r="F12" s="23" t="n">
        <v>80</v>
      </c>
      <c r="G12" s="24" t="n">
        <v>0.85</v>
      </c>
      <c r="H12" s="6" t="n"/>
      <c r="I12" s="6">
        <f>H12+3</f>
        <v/>
      </c>
      <c r="J12" s="6">
        <f>(H12 + (7 - WEEKDAY(H12,1))) + 1</f>
        <v/>
      </c>
      <c r="K12" s="7">
        <f>F12*G12</f>
        <v/>
      </c>
      <c r="L12" s="1" t="inlineStr">
        <is>
          <t>High Performance: Basic Essay</t>
        </is>
      </c>
      <c r="M12" s="9" t="inlineStr">
        <is>
          <t>This student scored 85% or higher on the W04 Application Activity: Basic Essay. Send a message of praise and encouragement for effort and good performance on this assignment.</t>
        </is>
      </c>
    </row>
    <row r="13" ht="15.95" customHeight="1">
      <c r="A13" s="1" t="inlineStr">
        <is>
          <t>PC101</t>
        </is>
      </c>
      <c r="B13" s="1" t="inlineStr">
        <is>
          <t>High Performance</t>
        </is>
      </c>
      <c r="C13" s="1" t="inlineStr">
        <is>
          <t>W06 Application Activity: Informative Essay</t>
        </is>
      </c>
      <c r="D13" s="23" t="n">
        <v>7</v>
      </c>
      <c r="E13" s="23" t="n">
        <v>4</v>
      </c>
      <c r="F13" s="23" t="n">
        <v>100</v>
      </c>
      <c r="G13" s="24" t="n">
        <v>0.85</v>
      </c>
      <c r="H13" s="6" t="n"/>
      <c r="I13" s="6">
        <f>H13+3</f>
        <v/>
      </c>
      <c r="J13" s="6">
        <f>(H13 + (7 - WEEKDAY(H13,1))) + 1</f>
        <v/>
      </c>
      <c r="K13" s="7">
        <f>F13*G13</f>
        <v/>
      </c>
      <c r="L13" s="1" t="inlineStr">
        <is>
          <t>High Performance: Informative Essay</t>
        </is>
      </c>
      <c r="M13" s="9" t="inlineStr">
        <is>
          <t>This student scored 85% or higher on the W06 Application Activity: Informative Essay. Send a message of praise and encouragement for effort and good performance on this assignment.</t>
        </is>
      </c>
    </row>
    <row r="14" ht="32.1" customHeight="1">
      <c r="A14" s="1" t="inlineStr">
        <is>
          <t>PC101</t>
        </is>
      </c>
      <c r="B14" s="1" t="inlineStr">
        <is>
          <t>Grader-Issued 0</t>
        </is>
      </c>
      <c r="C14" s="1" t="inlineStr">
        <is>
          <t>W02 Application Activity: Basic Paragraph</t>
        </is>
      </c>
      <c r="D14" s="23" t="n">
        <v>3</v>
      </c>
      <c r="E14" s="23" t="n">
        <v>4</v>
      </c>
      <c r="G14" s="24" t="n"/>
      <c r="H14" s="6" t="n"/>
      <c r="I14" s="6">
        <f>H14+3</f>
        <v/>
      </c>
      <c r="J14" s="6">
        <f>(H14 + (7 - WEEKDAY(H14,1))) + 1</f>
        <v/>
      </c>
      <c r="K14" s="7">
        <f>F14*G14</f>
        <v/>
      </c>
      <c r="L14" s="1" t="inlineStr">
        <is>
          <t>Grader-Issued 0</t>
        </is>
      </c>
      <c r="M14" s="9" t="inlineStr">
        <is>
          <t>This student received a grader-issued "0" on the W02 Application Activity: Basic Paragraph assignment. This is likely caused by the student submitting a blank template, wrong assignment, or a plagiarized version of the assignment. Log into the Canvas gradebook and review notes left by the grader. Send a message to the student and work with the student to get the assignment resubmitted for grading.</t>
        </is>
      </c>
    </row>
    <row r="15" ht="48" customHeight="1">
      <c r="A15" s="1" t="inlineStr">
        <is>
          <t>PC101</t>
        </is>
      </c>
      <c r="B15" s="1" t="inlineStr">
        <is>
          <t>Grader-Issued 0</t>
        </is>
      </c>
      <c r="C15" s="1" t="inlineStr">
        <is>
          <t>W03 Application Activity: Getting Things Done</t>
        </is>
      </c>
      <c r="D15" s="23" t="n">
        <v>4</v>
      </c>
      <c r="E15" s="23" t="n">
        <v>4</v>
      </c>
      <c r="G15" s="24" t="n"/>
      <c r="H15" s="6" t="n"/>
      <c r="I15" s="6">
        <f>H15+3</f>
        <v/>
      </c>
      <c r="J15" s="6">
        <f>(H15 + (7 - WEEKDAY(H15,1))) + 1</f>
        <v/>
      </c>
      <c r="K15" s="7">
        <f>F15*G15</f>
        <v/>
      </c>
      <c r="L15" s="1" t="inlineStr">
        <is>
          <t>Grader-Issued 0</t>
        </is>
      </c>
      <c r="M15" s="9" t="inlineStr">
        <is>
          <t>This student received a grader-issued "0" on the W03 Application Activity: Getting Things Done assignment. This is likely caused by the student submitting a blank template, wrong assignment, or a plagiarized version of the assignment. Log into the Canvas gradebook and review notes left by the grader. Send a message to the student and work with the student to get the assignment resubmitted for grading.</t>
        </is>
      </c>
    </row>
    <row r="16" ht="48" customHeight="1">
      <c r="A16" s="1" t="inlineStr">
        <is>
          <t>PC101</t>
        </is>
      </c>
      <c r="B16" s="1" t="inlineStr">
        <is>
          <t>Grader-Issued 0</t>
        </is>
      </c>
      <c r="C16" s="1" t="inlineStr">
        <is>
          <t>W03 Application Activity: Introduction to Spreadsheets</t>
        </is>
      </c>
      <c r="D16" s="23" t="n">
        <v>4</v>
      </c>
      <c r="E16" s="23" t="n">
        <v>4</v>
      </c>
      <c r="G16" s="24" t="n"/>
      <c r="H16" s="6" t="n"/>
      <c r="I16" s="6">
        <f>H16+3</f>
        <v/>
      </c>
      <c r="J16" s="6">
        <f>(H16 + (7 - WEEKDAY(H16,1))) + 1</f>
        <v/>
      </c>
      <c r="K16" s="7">
        <f>F16*G16</f>
        <v/>
      </c>
      <c r="L16" s="1" t="inlineStr">
        <is>
          <t>Grader-Issued 0</t>
        </is>
      </c>
      <c r="M16" s="9" t="inlineStr">
        <is>
          <t>This student received a grader-issued "0" on the W03 Application Activity: Intro to Spreadsheets assignment. This is likely caused by the student submitting a blank template, wrong assignment, or a plagiarized version of the assignment. Log into the Canvas gradebook and review notes left by the grader. Send a message to the student and work with the student to get the assignment resubmitted for grading.</t>
        </is>
      </c>
    </row>
    <row r="17" ht="32.1" customHeight="1">
      <c r="A17" s="1" t="inlineStr">
        <is>
          <t>PC101</t>
        </is>
      </c>
      <c r="B17" s="1" t="inlineStr">
        <is>
          <t>Grader-Issued 0</t>
        </is>
      </c>
      <c r="C17" s="1" t="inlineStr">
        <is>
          <t>W04 Application Activity: Basic Essay</t>
        </is>
      </c>
      <c r="D17" s="23" t="n">
        <v>5</v>
      </c>
      <c r="E17" s="23" t="n">
        <v>4</v>
      </c>
      <c r="G17" s="24" t="n"/>
      <c r="H17" s="6" t="n"/>
      <c r="I17" s="6">
        <f>H17+3</f>
        <v/>
      </c>
      <c r="J17" s="6">
        <f>(H17 + (7 - WEEKDAY(H17,1))) + 1</f>
        <v/>
      </c>
      <c r="K17" s="7">
        <f>F17*G17</f>
        <v/>
      </c>
      <c r="L17" s="1" t="inlineStr">
        <is>
          <t>Grader-Issued 0</t>
        </is>
      </c>
      <c r="M17" s="9" t="inlineStr">
        <is>
          <t>This student received a grader-issued "0" on the W04 Application Activity: Basic Essay assignment. This is likely caused by the student submitting a blank template, wrong assignment, or a plagiarized version of the assignment. Log into the Canvas gradebook and review notes left by the grader. Send a message to the student and work with the student to get the assignment resubmitted for grading.</t>
        </is>
      </c>
    </row>
    <row r="18" ht="32.1" customHeight="1">
      <c r="A18" s="1" t="inlineStr">
        <is>
          <t>PC101</t>
        </is>
      </c>
      <c r="B18" s="1" t="inlineStr">
        <is>
          <t>Quiz Question</t>
        </is>
      </c>
      <c r="C18" s="3" t="inlineStr">
        <is>
          <t xml:space="preserve">W01 Quiz: Check My Preparations, Q4: What is the biggest concern you have? </t>
        </is>
      </c>
      <c r="D18" s="23" t="n">
        <v>2</v>
      </c>
      <c r="E18" s="23" t="n">
        <v>1</v>
      </c>
      <c r="G18" s="24" t="n"/>
      <c r="H18" s="6" t="n"/>
      <c r="I18" s="6">
        <f>H18+3</f>
        <v/>
      </c>
      <c r="J18" s="6">
        <f>(H18 + (7 - WEEKDAY(H18,1))) + 1</f>
        <v/>
      </c>
      <c r="K18" s="7">
        <f>F18*G18</f>
        <v/>
      </c>
      <c r="L18" s="1" t="inlineStr">
        <is>
          <t>Biggest Concern: Academics</t>
        </is>
      </c>
      <c r="M18" s="9" t="inlineStr">
        <is>
          <t>Share a motivational message (i.e. personal experience, Pathway quote or devotional, related lesson content, etc) that relates to accomplishing goals/education or overcoming feelings of inadequacy. Ask students to be more specific about their areas of concern.</t>
        </is>
      </c>
    </row>
    <row r="19" ht="32.1" customHeight="1">
      <c r="A19" s="1" t="inlineStr">
        <is>
          <t>PC101</t>
        </is>
      </c>
      <c r="B19" s="1" t="inlineStr">
        <is>
          <t>Quiz Question</t>
        </is>
      </c>
      <c r="C19" s="3" t="inlineStr">
        <is>
          <t xml:space="preserve">W01 Quiz: Check My Preparations, Q4: What is the biggest concern you have? </t>
        </is>
      </c>
      <c r="D19" s="23" t="n">
        <v>2</v>
      </c>
      <c r="E19" s="23" t="n">
        <v>1</v>
      </c>
      <c r="G19" s="24" t="n"/>
      <c r="H19" s="6" t="n"/>
      <c r="I19" s="6">
        <f>H19+3</f>
        <v/>
      </c>
      <c r="J19" s="6">
        <f>(H19 + (7 - WEEKDAY(H19,1))) + 1</f>
        <v/>
      </c>
      <c r="K19" s="7">
        <f>F19*G19</f>
        <v/>
      </c>
      <c r="L19" s="1" t="inlineStr">
        <is>
          <t>Biggest Concern: English</t>
        </is>
      </c>
      <c r="M19" s="9" t="inlineStr">
        <is>
          <t>Ask clarifying questions about what aspect of their English they are struggling with. Remind students of the Optional Language Resources within the course. If concern is significant, invite them to consider concurrently enrolling in EnglishConnect 3.</t>
        </is>
      </c>
    </row>
    <row r="20" ht="32.1" customHeight="1">
      <c r="A20" s="1" t="inlineStr">
        <is>
          <t>PC101</t>
        </is>
      </c>
      <c r="B20" s="1" t="inlineStr">
        <is>
          <t>Quiz Question</t>
        </is>
      </c>
      <c r="C20" s="3" t="inlineStr">
        <is>
          <t xml:space="preserve">W01 Quiz: Check My Preparations, Q4: What is the biggest concern you have? </t>
        </is>
      </c>
      <c r="D20" s="23" t="n">
        <v>2</v>
      </c>
      <c r="E20" s="23" t="n">
        <v>1</v>
      </c>
      <c r="G20" s="24" t="n"/>
      <c r="H20" s="6" t="n"/>
      <c r="I20" s="6">
        <f>H20+3</f>
        <v/>
      </c>
      <c r="J20" s="6">
        <f>(H20 + (7 - WEEKDAY(H20,1))) + 1</f>
        <v/>
      </c>
      <c r="K20" s="7">
        <f>F20*G20</f>
        <v/>
      </c>
      <c r="L20" s="3" t="inlineStr">
        <is>
          <t>Biggest Concern: Time Management</t>
        </is>
      </c>
      <c r="M20" s="9" t="inlineStr">
        <is>
          <t>Share personal experiences with time-management and reference the W03 Lesson: Time Management and Goals. Ask about students’ goals in balancing schoolwork and their other responsibilities.</t>
        </is>
      </c>
    </row>
    <row r="21" ht="32.1" customHeight="1">
      <c r="A21" s="1" t="inlineStr">
        <is>
          <t>PC101</t>
        </is>
      </c>
      <c r="B21" s="1" t="inlineStr">
        <is>
          <t>Quiz Question</t>
        </is>
      </c>
      <c r="C21" s="3" t="inlineStr">
        <is>
          <t xml:space="preserve">W01 Quiz: Check My Preparations, Q4: What is the biggest concern you have? </t>
        </is>
      </c>
      <c r="D21" s="23" t="n">
        <v>2</v>
      </c>
      <c r="E21" s="23" t="n">
        <v>1</v>
      </c>
      <c r="G21" s="24" t="n"/>
      <c r="H21" s="6" t="n"/>
      <c r="I21" s="6">
        <f>H21+3</f>
        <v/>
      </c>
      <c r="J21" s="6">
        <f>(H21 + (7 - WEEKDAY(H21,1))) + 1</f>
        <v/>
      </c>
      <c r="K21" s="7">
        <f>F21*G21</f>
        <v/>
      </c>
      <c r="L21" s="1" t="inlineStr">
        <is>
          <t>Biggest Concern: Technology</t>
        </is>
      </c>
      <c r="M21" s="9" t="inlineStr">
        <is>
          <t>Ask clarifying questions about what aspect of technology they are struggling with. Instruct students to pay close attention to the W01 Lesson: Start Here.  Help them realize that with proper preparation, resource planning, and guidance from the Spirit, they can overcome challenges.</t>
        </is>
      </c>
    </row>
    <row r="22">
      <c r="A22" s="1" t="inlineStr">
        <is>
          <t>PC101</t>
        </is>
      </c>
      <c r="B22" s="1" t="inlineStr">
        <is>
          <t>New Student Added</t>
        </is>
      </c>
      <c r="C22" s="1" t="inlineStr">
        <is>
          <t>New Student Added</t>
        </is>
      </c>
      <c r="D22" s="23" t="n">
        <v>0</v>
      </c>
      <c r="E22" s="23" t="n">
        <v>2</v>
      </c>
      <c r="G22" s="24" t="n"/>
      <c r="H22" s="6" t="n"/>
      <c r="I22" s="6">
        <f>H22+3</f>
        <v/>
      </c>
      <c r="J22" s="6">
        <f>(H22 + (7 - WEEKDAY(H22,1))) + 1</f>
        <v/>
      </c>
      <c r="K22" s="7">
        <f>F22*G22</f>
        <v/>
      </c>
      <c r="L22" s="1" t="inlineStr">
        <is>
          <t>Welcome Email</t>
        </is>
      </c>
      <c r="M22" s="8" t="inlineStr">
        <is>
          <t xml:space="preserve">Send an email (outside the IMS) to your students, welcoming them to the course, letting them know the start date of term and also how to access your course. </t>
        </is>
      </c>
    </row>
    <row r="23" ht="15.95" customHeight="1">
      <c r="A23" s="1" t="inlineStr">
        <is>
          <t>PC101</t>
        </is>
      </c>
      <c r="B23" s="3" t="inlineStr">
        <is>
          <t>Scheduled - Not Logged In</t>
        </is>
      </c>
      <c r="C23" s="1" t="inlineStr">
        <is>
          <t>Not Logged into Canvas</t>
        </is>
      </c>
      <c r="D23" s="23" t="n">
        <v>1</v>
      </c>
      <c r="E23" s="23" t="n">
        <v>4</v>
      </c>
      <c r="G23" s="24" t="n"/>
      <c r="H23" s="6" t="n"/>
      <c r="I23" s="6">
        <f>H23+3</f>
        <v/>
      </c>
      <c r="J23" s="6">
        <f>(H23 + (7 - WEEKDAY(H23,1))) + 1</f>
        <v/>
      </c>
      <c r="K23" s="7">
        <f>F23*G23</f>
        <v/>
      </c>
      <c r="L23" s="1" t="inlineStr">
        <is>
          <t>Not Logged Into Canvas</t>
        </is>
      </c>
      <c r="M23" s="8" t="inlineStr">
        <is>
          <t>Email (outside the IMS) students who have not logged into Canvas, reminding them that term started and encouraging them to get started.</t>
        </is>
      </c>
    </row>
    <row r="24" ht="32.1" customHeight="1">
      <c r="A24" s="1" t="inlineStr">
        <is>
          <t>PC101</t>
        </is>
      </c>
      <c r="B24" s="3" t="inlineStr">
        <is>
          <t xml:space="preserve">Scheduled - Classwide </t>
        </is>
      </c>
      <c r="C24" s="1" t="inlineStr">
        <is>
          <t>W03 Application Activity: Wellness Plan</t>
        </is>
      </c>
      <c r="D24" s="23" t="n">
        <v>3</v>
      </c>
      <c r="E24" s="23" t="n">
        <v>1</v>
      </c>
      <c r="G24" s="24" t="n"/>
      <c r="H24" s="6" t="n"/>
      <c r="I24" s="6">
        <f>H24+3</f>
        <v/>
      </c>
      <c r="J24" s="6">
        <f>(H24 + (7 - WEEKDAY(H24,1))) + 1</f>
        <v/>
      </c>
      <c r="K24" s="7">
        <f>F24*G24</f>
        <v/>
      </c>
      <c r="L24" s="1" t="inlineStr">
        <is>
          <t>Role Model: Wellness</t>
        </is>
      </c>
      <c r="M24" s="9" t="inlineStr">
        <is>
          <t xml:space="preserve">Prayerfully select one of the types of wellness mentioned in the lesson (physical, spiritual, social, mental).  Allow the Spirit to guide you in choosing an experience that might be most meaningful to your students as they complete their own wellness plans this week. Send an uplifting message to all students sharing your experience and how setting goals has helped you. </t>
        </is>
      </c>
    </row>
    <row r="25" ht="32.1" customHeight="1">
      <c r="A25" s="1" t="inlineStr">
        <is>
          <t>PC101</t>
        </is>
      </c>
      <c r="B25" s="1" t="inlineStr">
        <is>
          <t xml:space="preserve">Scheduled - Classwide </t>
        </is>
      </c>
      <c r="C25" s="1" t="inlineStr">
        <is>
          <t>W06 Application Activity: Resource List</t>
        </is>
      </c>
      <c r="D25" s="23" t="n">
        <v>6</v>
      </c>
      <c r="E25" s="23" t="n">
        <v>1</v>
      </c>
      <c r="G25" s="24" t="n"/>
      <c r="H25" s="6" t="n"/>
      <c r="I25" s="6">
        <f>H25+3</f>
        <v/>
      </c>
      <c r="J25" s="6">
        <f>(H25 + (7 - WEEKDAY(H25,1))) + 1</f>
        <v/>
      </c>
      <c r="K25" s="7">
        <f>F25*G25</f>
        <v/>
      </c>
      <c r="L25" s="1" t="inlineStr">
        <is>
          <t>Role Model: Resourcefulness</t>
        </is>
      </c>
      <c r="M25" s="9" t="inlineStr">
        <is>
          <t xml:space="preserve">Prayerfully review this week’s lesson on Resourcefulness. Think of resources you (or your past students) have used to overcome a challenge. Allow the Spirit to guide you in choosing an experience that might be most meaningful to your students as they complete their own Resource List this week. Send an uplifting message to all students sharing the experience and how being resourceful helped. </t>
        </is>
      </c>
    </row>
    <row r="26" ht="32.1" customHeight="1">
      <c r="A26" s="1" t="inlineStr">
        <is>
          <t>PC101</t>
        </is>
      </c>
      <c r="B26" s="1" t="inlineStr">
        <is>
          <t xml:space="preserve">Scheduled - Classwide </t>
        </is>
      </c>
      <c r="C26" s="1" t="inlineStr">
        <is>
          <t>W07 Application Activity: Persistence Plan</t>
        </is>
      </c>
      <c r="D26" s="23" t="n">
        <v>7</v>
      </c>
      <c r="E26" s="23" t="n">
        <v>1</v>
      </c>
      <c r="G26" s="24" t="n"/>
      <c r="H26" s="6" t="n"/>
      <c r="I26" s="6">
        <f>H26+3</f>
        <v/>
      </c>
      <c r="J26" s="6">
        <f>(H26 + (7 - WEEKDAY(H26,1))) + 1</f>
        <v/>
      </c>
      <c r="K26" s="7">
        <f>F26*G26</f>
        <v/>
      </c>
      <c r="L26" s="1" t="inlineStr">
        <is>
          <t>Role Model: Persistence</t>
        </is>
      </c>
      <c r="M26" s="9" t="inlineStr">
        <is>
          <t>Prayerfully review this week’s lesson on Persistence. Think of a personal experience or a story in the scriptures that shows how persistence helped someone overcome a trial/obstacle.  Relate this to the lesson and encourage students as they move forward in their educational journey.</t>
        </is>
      </c>
    </row>
    <row r="27" ht="15.95" customHeight="1">
      <c r="A27" s="1" t="inlineStr">
        <is>
          <t>PC101</t>
        </is>
      </c>
      <c r="B27" s="3" t="inlineStr">
        <is>
          <t xml:space="preserve">Scheduled - Registration </t>
        </is>
      </c>
      <c r="C27" s="1" t="inlineStr">
        <is>
          <t>Registration Reminder 1</t>
        </is>
      </c>
      <c r="D27" s="23" t="n">
        <v>5</v>
      </c>
      <c r="E27" s="23" t="n">
        <v>4</v>
      </c>
      <c r="G27" s="24" t="n"/>
      <c r="H27" s="6" t="n"/>
      <c r="I27" s="6">
        <f>H27+3</f>
        <v/>
      </c>
      <c r="J27" s="6">
        <f>(H27 + (7 - WEEKDAY(H27,1))) + 1</f>
        <v/>
      </c>
      <c r="K27" s="7">
        <f>F27*G27</f>
        <v/>
      </c>
      <c r="L27" s="1" t="inlineStr">
        <is>
          <t>Registration Reminder</t>
        </is>
      </c>
      <c r="M27" s="8" t="inlineStr">
        <is>
          <t>Send a message to all students, reminding them that registration for the next term is now open and encouraging them to go and take action.</t>
        </is>
      </c>
    </row>
    <row r="28" ht="15.95" customHeight="1">
      <c r="A28" s="1" t="inlineStr">
        <is>
          <t>PC101</t>
        </is>
      </c>
      <c r="B28" s="1" t="inlineStr">
        <is>
          <t xml:space="preserve">Scheduled - Registration </t>
        </is>
      </c>
      <c r="C28" s="1" t="inlineStr">
        <is>
          <t>Registration Reminder 2</t>
        </is>
      </c>
      <c r="D28" s="23" t="n">
        <v>7</v>
      </c>
      <c r="E28" s="23" t="n">
        <v>1</v>
      </c>
      <c r="G28" s="24" t="n"/>
      <c r="H28" s="6" t="n"/>
      <c r="I28" s="6">
        <f>H28+3</f>
        <v/>
      </c>
      <c r="J28" s="6">
        <f>(H28 + (7 - WEEKDAY(H28,1))) + 1</f>
        <v/>
      </c>
      <c r="K28" s="7">
        <f>F28*G28</f>
        <v/>
      </c>
      <c r="L28" s="1" t="inlineStr">
        <is>
          <t>Registration Reminder</t>
        </is>
      </c>
      <c r="M28" s="9" t="inlineStr">
        <is>
          <t xml:space="preserve">Send a message to all students, reminding them that registration for the next term is still open, but will be closing soon. Encourage them to go in and register as soon as possible. </t>
        </is>
      </c>
    </row>
    <row r="29">
      <c r="G29" s="24" t="n"/>
      <c r="H29" s="6" t="n"/>
      <c r="I29" s="6">
        <f>H29+3</f>
        <v/>
      </c>
      <c r="J29" s="6">
        <f>(H29 + (7 - WEEKDAY(H29,1))) + 1</f>
        <v/>
      </c>
      <c r="K29" s="7">
        <f>F29*G29</f>
        <v/>
      </c>
      <c r="M29" s="27" t="n"/>
    </row>
    <row r="30">
      <c r="G30" s="24" t="n"/>
      <c r="H30" s="6" t="n"/>
      <c r="I30" s="6">
        <f>H30+3</f>
        <v/>
      </c>
      <c r="J30" s="6">
        <f>(H30 + (7 - WEEKDAY(H30,1))) + 1</f>
        <v/>
      </c>
      <c r="K30" s="7">
        <f>F30*G30</f>
        <v/>
      </c>
      <c r="M30" s="27" t="n"/>
    </row>
    <row r="31">
      <c r="G31" s="24" t="n"/>
      <c r="H31" s="6" t="n"/>
      <c r="I31" s="6">
        <f>H31+3</f>
        <v/>
      </c>
      <c r="J31" s="6">
        <f>(H31 + (7 - WEEKDAY(H31,1))) + 1</f>
        <v/>
      </c>
      <c r="K31" s="7">
        <f>F31*G31</f>
        <v/>
      </c>
      <c r="M31" s="27" t="n"/>
    </row>
    <row r="32">
      <c r="G32" s="24" t="n"/>
      <c r="H32" s="6" t="n"/>
      <c r="I32" s="6">
        <f>H32+3</f>
        <v/>
      </c>
      <c r="J32" s="6">
        <f>(H32 + (7 - WEEKDAY(H32,1))) + 1</f>
        <v/>
      </c>
      <c r="K32" s="7">
        <f>F32*G32</f>
        <v/>
      </c>
      <c r="M32" s="27" t="n"/>
    </row>
    <row r="33">
      <c r="G33" s="24" t="n"/>
      <c r="H33" s="6" t="n"/>
      <c r="I33" s="6">
        <f>H33+3</f>
        <v/>
      </c>
      <c r="J33" s="6">
        <f>(H33 + (7 - WEEKDAY(H33,1))) + 1</f>
        <v/>
      </c>
      <c r="K33" s="7">
        <f>F33*G33</f>
        <v/>
      </c>
      <c r="M33" s="27" t="n"/>
    </row>
    <row r="34">
      <c r="G34" s="24" t="n"/>
      <c r="H34" s="6" t="n"/>
      <c r="I34" s="6">
        <f>H34+3</f>
        <v/>
      </c>
      <c r="J34" s="6">
        <f>(H34 + (7 - WEEKDAY(H34,1))) + 1</f>
        <v/>
      </c>
      <c r="K34" s="7">
        <f>F34*G34</f>
        <v/>
      </c>
      <c r="M34" s="27" t="n"/>
    </row>
    <row r="35">
      <c r="G35" s="24" t="n"/>
      <c r="H35" s="6" t="n"/>
      <c r="I35" s="6">
        <f>H35+3</f>
        <v/>
      </c>
      <c r="J35" s="6">
        <f>(H35 + (7 - WEEKDAY(H35,1))) + 1</f>
        <v/>
      </c>
      <c r="K35" s="7">
        <f>F35*G35</f>
        <v/>
      </c>
      <c r="M35" s="27" t="n"/>
    </row>
    <row r="36">
      <c r="G36" s="24" t="n"/>
      <c r="H36" s="6" t="n"/>
      <c r="I36" s="6">
        <f>H36+3</f>
        <v/>
      </c>
      <c r="J36" s="6">
        <f>(H36 + (7 - WEEKDAY(H36,1))) + 1</f>
        <v/>
      </c>
      <c r="K36" s="7">
        <f>F36*G36</f>
        <v/>
      </c>
      <c r="M36" s="27" t="n"/>
    </row>
    <row r="37">
      <c r="G37" s="24" t="n"/>
      <c r="H37" s="6" t="n"/>
      <c r="I37" s="6">
        <f>H37+3</f>
        <v/>
      </c>
      <c r="J37" s="6">
        <f>(H37 + (7 - WEEKDAY(H37,1))) + 1</f>
        <v/>
      </c>
      <c r="K37" s="7">
        <f>F37*G37</f>
        <v/>
      </c>
      <c r="M37" s="27" t="n"/>
    </row>
    <row r="38">
      <c r="G38" s="24" t="n"/>
      <c r="H38" s="6" t="n"/>
      <c r="I38" s="6">
        <f>H38+3</f>
        <v/>
      </c>
      <c r="J38" s="6">
        <f>(H38 + (7 - WEEKDAY(H38,1))) + 1</f>
        <v/>
      </c>
      <c r="K38" s="7">
        <f>F38*G38</f>
        <v/>
      </c>
      <c r="M38" s="27" t="n"/>
    </row>
    <row r="39">
      <c r="G39" s="24" t="n"/>
      <c r="H39" s="6" t="n"/>
      <c r="I39" s="6">
        <f>H39+3</f>
        <v/>
      </c>
      <c r="J39" s="6">
        <f>(H39 + (7 - WEEKDAY(H39,1))) + 1</f>
        <v/>
      </c>
      <c r="K39" s="7">
        <f>F39*G39</f>
        <v/>
      </c>
      <c r="M39" s="27" t="n"/>
    </row>
    <row r="40">
      <c r="G40" s="24" t="n"/>
      <c r="H40" s="6" t="n"/>
      <c r="I40" s="6">
        <f>H40+3</f>
        <v/>
      </c>
      <c r="J40" s="6">
        <f>(H40 + (7 - WEEKDAY(H40,1))) + 1</f>
        <v/>
      </c>
      <c r="K40" s="7">
        <f>F40*G40</f>
        <v/>
      </c>
      <c r="M40" s="27" t="n"/>
    </row>
    <row r="41">
      <c r="G41" s="24" t="n"/>
      <c r="H41" s="6" t="n"/>
      <c r="I41" s="6">
        <f>H41+3</f>
        <v/>
      </c>
      <c r="J41" s="6">
        <f>(H41 + (7 - WEEKDAY(H41,1))) + 1</f>
        <v/>
      </c>
      <c r="K41" s="7">
        <f>F41*G41</f>
        <v/>
      </c>
      <c r="M41" s="27" t="n"/>
    </row>
    <row r="42">
      <c r="G42" s="24" t="n"/>
      <c r="H42" s="6" t="n"/>
      <c r="I42" s="6">
        <f>H42+3</f>
        <v/>
      </c>
      <c r="J42" s="6">
        <f>(H42 + (7 - WEEKDAY(H42,1))) + 1</f>
        <v/>
      </c>
      <c r="K42" s="7">
        <f>F42*G42</f>
        <v/>
      </c>
      <c r="M42" s="27" t="n"/>
    </row>
    <row r="43">
      <c r="G43" s="24" t="n"/>
      <c r="H43" s="6" t="n"/>
      <c r="I43" s="6">
        <f>H43+3</f>
        <v/>
      </c>
      <c r="J43" s="6">
        <f>(H43 + (7 - WEEKDAY(H43,1))) + 1</f>
        <v/>
      </c>
      <c r="K43" s="7">
        <f>F43*G43</f>
        <v/>
      </c>
      <c r="M43" s="27" t="n"/>
    </row>
    <row r="44">
      <c r="G44" s="24" t="n"/>
      <c r="H44" s="6" t="n"/>
      <c r="I44" s="6">
        <f>H44+3</f>
        <v/>
      </c>
      <c r="J44" s="6">
        <f>(H44 + (7 - WEEKDAY(H44,1))) + 1</f>
        <v/>
      </c>
      <c r="K44" s="7">
        <f>F44*G44</f>
        <v/>
      </c>
      <c r="M44" s="27" t="n"/>
    </row>
    <row r="45">
      <c r="G45" s="24" t="n"/>
      <c r="H45" s="6" t="n"/>
      <c r="I45" s="6">
        <f>H45+3</f>
        <v/>
      </c>
      <c r="J45" s="6">
        <f>(H45 + (7 - WEEKDAY(H45,1))) + 1</f>
        <v/>
      </c>
      <c r="K45" s="7">
        <f>F45*G45</f>
        <v/>
      </c>
      <c r="M45" s="27" t="n"/>
    </row>
    <row r="46">
      <c r="G46" s="24" t="n"/>
      <c r="H46" s="6" t="n"/>
      <c r="I46" s="6">
        <f>H46+3</f>
        <v/>
      </c>
      <c r="J46" s="6">
        <f>(H46 + (7 - WEEKDAY(H46,1))) + 1</f>
        <v/>
      </c>
      <c r="K46" s="7">
        <f>F46*G46</f>
        <v/>
      </c>
    </row>
    <row r="47">
      <c r="G47" s="24" t="n"/>
      <c r="H47" s="6" t="n"/>
      <c r="I47" s="6">
        <f>H47+3</f>
        <v/>
      </c>
      <c r="J47" s="6">
        <f>(H47 + (7 - WEEKDAY(H47,1))) + 1</f>
        <v/>
      </c>
      <c r="K47" s="7">
        <f>F47*G47</f>
        <v/>
      </c>
    </row>
    <row r="48">
      <c r="G48" s="24" t="n"/>
      <c r="H48" s="6" t="n"/>
      <c r="I48" s="6">
        <f>H48+3</f>
        <v/>
      </c>
      <c r="J48" s="6">
        <f>(H48 + (7 - WEEKDAY(H48,1))) + 1</f>
        <v/>
      </c>
      <c r="K48" s="7">
        <f>F48*G48</f>
        <v/>
      </c>
    </row>
    <row r="49">
      <c r="G49" s="24" t="n"/>
      <c r="H49" s="6" t="n"/>
      <c r="I49" s="6">
        <f>H49+3</f>
        <v/>
      </c>
      <c r="J49" s="6">
        <f>(H49 + (7 - WEEKDAY(H49,1))) + 1</f>
        <v/>
      </c>
      <c r="K49" s="7">
        <f>F49*G49</f>
        <v/>
      </c>
    </row>
    <row r="50">
      <c r="G50" s="24" t="n"/>
      <c r="H50" s="6" t="n"/>
      <c r="I50" s="6">
        <f>H50+3</f>
        <v/>
      </c>
      <c r="J50" s="6">
        <f>(H50 + (7 - WEEKDAY(H50,1))) + 1</f>
        <v/>
      </c>
      <c r="K50" s="7">
        <f>F50*G50</f>
        <v/>
      </c>
    </row>
    <row r="51">
      <c r="G51" s="24" t="n"/>
      <c r="H51" s="6" t="n"/>
      <c r="I51" s="6">
        <f>H51+3</f>
        <v/>
      </c>
      <c r="J51" s="6">
        <f>(H51 + (7 - WEEKDAY(H51,1))) + 1</f>
        <v/>
      </c>
      <c r="K51" s="7">
        <f>F51*G51</f>
        <v/>
      </c>
    </row>
    <row r="52">
      <c r="G52" s="24" t="n"/>
      <c r="H52" s="6" t="n"/>
      <c r="I52" s="6">
        <f>H52+3</f>
        <v/>
      </c>
      <c r="J52" s="6">
        <f>(H52 + (7 - WEEKDAY(H52,1))) + 1</f>
        <v/>
      </c>
      <c r="K52" s="7">
        <f>F52*G52</f>
        <v/>
      </c>
    </row>
    <row r="53">
      <c r="G53" s="24" t="n"/>
      <c r="H53" s="6" t="n"/>
      <c r="I53" s="6">
        <f>H53+3</f>
        <v/>
      </c>
      <c r="J53" s="6">
        <f>(H53 + (7 - WEEKDAY(H53,1))) + 1</f>
        <v/>
      </c>
      <c r="K53" s="7">
        <f>F53*G53</f>
        <v/>
      </c>
    </row>
    <row r="54">
      <c r="G54" s="24" t="n"/>
      <c r="H54" s="6" t="n"/>
      <c r="I54" s="6">
        <f>H54+3</f>
        <v/>
      </c>
      <c r="J54" s="6">
        <f>(H54 + (7 - WEEKDAY(H54,1))) + 1</f>
        <v/>
      </c>
      <c r="K54" s="7">
        <f>F54*G54</f>
        <v/>
      </c>
    </row>
    <row r="55">
      <c r="G55" s="24" t="n"/>
      <c r="H55" s="6" t="n"/>
      <c r="I55" s="6">
        <f>H55+3</f>
        <v/>
      </c>
      <c r="J55" s="6">
        <f>(H55 + (7 - WEEKDAY(H55,1))) + 1</f>
        <v/>
      </c>
      <c r="K55" s="7">
        <f>F55*G55</f>
        <v/>
      </c>
    </row>
    <row r="56">
      <c r="G56" s="24" t="n"/>
      <c r="H56" s="6" t="n"/>
      <c r="I56" s="6">
        <f>H56+3</f>
        <v/>
      </c>
      <c r="J56" s="6">
        <f>(H56 + (7 - WEEKDAY(H56,1))) + 1</f>
        <v/>
      </c>
      <c r="K56" s="7">
        <f>F56*G56</f>
        <v/>
      </c>
    </row>
    <row r="57">
      <c r="G57" s="24" t="n"/>
      <c r="H57" s="6" t="n"/>
      <c r="I57" s="6">
        <f>H57+3</f>
        <v/>
      </c>
      <c r="J57" s="6">
        <f>(H57 + (7 - WEEKDAY(H57,1))) + 1</f>
        <v/>
      </c>
      <c r="K57" s="7">
        <f>F57*G57</f>
        <v/>
      </c>
    </row>
    <row r="58">
      <c r="G58" s="24" t="n"/>
      <c r="H58" s="6" t="n"/>
      <c r="I58" s="6">
        <f>H58+3</f>
        <v/>
      </c>
      <c r="J58" s="6">
        <f>(H58 + (7 - WEEKDAY(H58,1))) + 1</f>
        <v/>
      </c>
      <c r="K58" s="7">
        <f>F58*G58</f>
        <v/>
      </c>
    </row>
    <row r="59">
      <c r="G59" s="24" t="n"/>
      <c r="H59" s="6" t="n"/>
      <c r="I59" s="6">
        <f>H59+3</f>
        <v/>
      </c>
      <c r="J59" s="6">
        <f>(H59 + (7 - WEEKDAY(H59,1))) + 1</f>
        <v/>
      </c>
      <c r="K59" s="7">
        <f>F59*G59</f>
        <v/>
      </c>
    </row>
    <row r="60">
      <c r="G60" s="24" t="n"/>
      <c r="H60" s="6" t="n"/>
      <c r="I60" s="6">
        <f>H60+3</f>
        <v/>
      </c>
      <c r="J60" s="6">
        <f>(H60 + (7 - WEEKDAY(H60,1))) + 1</f>
        <v/>
      </c>
      <c r="K60" s="7">
        <f>F60*G60</f>
        <v/>
      </c>
    </row>
    <row r="61">
      <c r="G61" s="24" t="n"/>
      <c r="H61" s="6" t="n"/>
      <c r="I61" s="6">
        <f>H61+3</f>
        <v/>
      </c>
      <c r="J61" s="6">
        <f>(H61 + (7 - WEEKDAY(H61,1))) + 1</f>
        <v/>
      </c>
      <c r="K61" s="7">
        <f>F61*G61</f>
        <v/>
      </c>
    </row>
    <row r="62">
      <c r="G62" s="24" t="n"/>
      <c r="H62" s="6" t="n"/>
      <c r="I62" s="6">
        <f>H62+3</f>
        <v/>
      </c>
      <c r="J62" s="6">
        <f>(H62 + (7 - WEEKDAY(H62,1))) + 1</f>
        <v/>
      </c>
      <c r="K62" s="7">
        <f>F62*G62</f>
        <v/>
      </c>
    </row>
    <row r="63">
      <c r="G63" s="24" t="n"/>
      <c r="H63" s="6" t="n"/>
      <c r="I63" s="6">
        <f>H63+3</f>
        <v/>
      </c>
      <c r="J63" s="6">
        <f>(H63 + (7 - WEEKDAY(H63,1))) + 1</f>
        <v/>
      </c>
      <c r="K63" s="7">
        <f>F63*G63</f>
        <v/>
      </c>
    </row>
    <row r="64">
      <c r="G64" s="24" t="n"/>
      <c r="H64" s="6" t="n"/>
      <c r="I64" s="6">
        <f>H64+3</f>
        <v/>
      </c>
      <c r="J64" s="6">
        <f>(H64 + (7 - WEEKDAY(H64,1))) + 1</f>
        <v/>
      </c>
      <c r="K64" s="7">
        <f>F64*G64</f>
        <v/>
      </c>
    </row>
    <row r="65">
      <c r="G65" s="24" t="n"/>
      <c r="H65" s="6" t="n"/>
      <c r="I65" s="6">
        <f>H65+3</f>
        <v/>
      </c>
      <c r="J65" s="6">
        <f>(H65 + (7 - WEEKDAY(H65,1))) + 1</f>
        <v/>
      </c>
      <c r="K65" s="7">
        <f>F65*G65</f>
        <v/>
      </c>
    </row>
    <row r="66">
      <c r="G66" s="24" t="n"/>
      <c r="H66" s="6" t="n"/>
      <c r="I66" s="6">
        <f>H66+3</f>
        <v/>
      </c>
      <c r="J66" s="6">
        <f>(H66 + (7 - WEEKDAY(H66,1))) + 1</f>
        <v/>
      </c>
      <c r="K66" s="7">
        <f>F66*G66</f>
        <v/>
      </c>
    </row>
    <row r="67">
      <c r="G67" s="24" t="n"/>
      <c r="H67" s="6" t="n"/>
      <c r="I67" s="6">
        <f>H67+3</f>
        <v/>
      </c>
      <c r="J67" s="6">
        <f>(H67 + (7 - WEEKDAY(H67,1))) + 1</f>
        <v/>
      </c>
      <c r="K67" s="7">
        <f>F67*G67</f>
        <v/>
      </c>
    </row>
    <row r="68">
      <c r="G68" s="24" t="n"/>
      <c r="H68" s="6" t="n"/>
      <c r="I68" s="6">
        <f>H68+3</f>
        <v/>
      </c>
      <c r="J68" s="6">
        <f>(H68 + (7 - WEEKDAY(H68,1))) + 1</f>
        <v/>
      </c>
      <c r="K68" s="7">
        <f>F68*G68</f>
        <v/>
      </c>
    </row>
    <row r="69">
      <c r="G69" s="24" t="n"/>
      <c r="H69" s="6" t="n"/>
      <c r="I69" s="6">
        <f>H69+3</f>
        <v/>
      </c>
      <c r="J69" s="6">
        <f>(H69 + (7 - WEEKDAY(H69,1))) + 1</f>
        <v/>
      </c>
      <c r="K69" s="7">
        <f>F69*G69</f>
        <v/>
      </c>
    </row>
    <row r="70">
      <c r="G70" s="24" t="n"/>
      <c r="H70" s="6" t="n"/>
      <c r="I70" s="6">
        <f>H70+3</f>
        <v/>
      </c>
      <c r="J70" s="6">
        <f>(H70 + (7 - WEEKDAY(H70,1))) + 1</f>
        <v/>
      </c>
      <c r="K70" s="7">
        <f>F70*G70</f>
        <v/>
      </c>
    </row>
    <row r="71">
      <c r="G71" s="24" t="n"/>
      <c r="H71" s="6" t="n"/>
      <c r="I71" s="6">
        <f>H71+3</f>
        <v/>
      </c>
      <c r="J71" s="6">
        <f>(H71 + (7 - WEEKDAY(H71,1))) + 1</f>
        <v/>
      </c>
      <c r="K71" s="7">
        <f>F71*G71</f>
        <v/>
      </c>
    </row>
    <row r="72">
      <c r="G72" s="24" t="n"/>
      <c r="H72" s="6" t="n"/>
      <c r="I72" s="6">
        <f>H72+3</f>
        <v/>
      </c>
      <c r="J72" s="6">
        <f>(H72 + (7 - WEEKDAY(H72,1))) + 1</f>
        <v/>
      </c>
      <c r="K72" s="7">
        <f>F72*G72</f>
        <v/>
      </c>
    </row>
    <row r="73">
      <c r="G73" s="24" t="n"/>
      <c r="H73" s="6" t="n"/>
      <c r="I73" s="6">
        <f>H73+3</f>
        <v/>
      </c>
      <c r="J73" s="6">
        <f>(H73 + (7 - WEEKDAY(H73,1))) + 1</f>
        <v/>
      </c>
      <c r="K73" s="7">
        <f>F73*G73</f>
        <v/>
      </c>
    </row>
  </sheetData>
  <sheetProtection selectLockedCells="0" selectUnlockedCells="0" algorithmName="SHA-512" sheet="1" objects="0" insertRows="0" insertHyperlinks="1" autoFilter="0" scenarios="0" formatColumns="1" deleteColumns="1" insertColumns="1" pivotTables="1" deleteRows="0" formatCells="0" saltValue="v56MUNpPifyM3cX708xOVA==" formatRows="0" sort="0" spinCount="100000" hashValue="lPwIFIeQ3xkQor/7XojxZSslG3z9BhkNg7wF6o20pjo+zPanWBnbn+vZgobo0v0HAZUDiRKRKrR64Vo6nvUqBw=="/>
  <pageMargins left="0.7" right="0.7" top="0.75" bottom="0.75" header="0.3" footer="0.3"/>
</worksheet>
</file>

<file path=xl/worksheets/sheet23.xml><?xml version="1.0" encoding="utf-8"?>
<worksheet xmlns="http://schemas.openxmlformats.org/spreadsheetml/2006/main">
  <sheetPr codeName="Sheet21">
    <tabColor theme="5" tint="0.7999816888943144"/>
    <outlinePr summaryBelow="1" summaryRight="1"/>
    <pageSetUpPr/>
  </sheetPr>
  <dimension ref="A1:M71"/>
  <sheetViews>
    <sheetView topLeftCell="A8" workbookViewId="0">
      <selection activeCell="N52" sqref="N52"/>
    </sheetView>
  </sheetViews>
  <sheetFormatPr baseColWidth="8" defaultColWidth="9.140625" defaultRowHeight="15"/>
  <cols>
    <col width="14.85546875" customWidth="1" style="12" min="1" max="1"/>
    <col width="24.28515625" customWidth="1" style="12" min="2" max="2"/>
    <col width="48" customWidth="1" style="12" min="3" max="3"/>
    <col width="14.42578125" customWidth="1" style="20" min="4" max="4"/>
    <col width="14" customWidth="1" style="20" min="5" max="6"/>
    <col width="14.140625" customWidth="1" style="20" min="7" max="7"/>
    <col hidden="1" width="20.85546875" customWidth="1" style="12" min="8" max="8"/>
    <col hidden="1" width="15.28515625" customWidth="1" style="12" min="9" max="9"/>
    <col hidden="1" width="17.7109375" customWidth="1" style="12" min="10" max="10"/>
    <col hidden="1" width="12.85546875" customWidth="1" style="12" min="11" max="11"/>
    <col width="36.85546875" customWidth="1" style="12" min="12" max="12"/>
    <col width="153" customWidth="1" style="12" min="13" max="13"/>
    <col width="9.140625" customWidth="1" style="12" min="14" max="16384"/>
  </cols>
  <sheetData>
    <row r="1" ht="32.1" customFormat="1" customHeight="1" s="10">
      <c r="A1" s="10" t="inlineStr">
        <is>
          <t>Course</t>
        </is>
      </c>
      <c r="B1" s="10" t="inlineStr">
        <is>
          <t>Action Type</t>
        </is>
      </c>
      <c r="C1" s="10" t="inlineStr">
        <is>
          <t>Assignment</t>
        </is>
      </c>
      <c r="D1" s="11" t="inlineStr">
        <is>
          <t>Week of
Outreach</t>
        </is>
      </c>
      <c r="E1" s="11" t="inlineStr">
        <is>
          <t>Day of
Outreach</t>
        </is>
      </c>
      <c r="F1" s="11" t="inlineStr">
        <is>
          <t>Points
Possible</t>
        </is>
      </c>
      <c r="G1" s="11" t="inlineStr">
        <is>
          <t>% + or - forOutreach</t>
        </is>
      </c>
      <c r="H1" s="10" t="inlineStr">
        <is>
          <t xml:space="preserve">Start Date </t>
        </is>
      </c>
      <c r="I1" s="10" t="inlineStr">
        <is>
          <t>Due Date</t>
        </is>
      </c>
      <c r="J1" s="10" t="inlineStr">
        <is>
          <t>Expire Date</t>
        </is>
      </c>
      <c r="K1" s="10" t="inlineStr">
        <is>
          <t>Score</t>
        </is>
      </c>
      <c r="L1" s="18" t="inlineStr">
        <is>
          <t>Subject Line (Drop Down in IMS)</t>
        </is>
      </c>
      <c r="M1" s="19" t="inlineStr">
        <is>
          <t>Description/Prompt in IMS</t>
        </is>
      </c>
    </row>
    <row r="2">
      <c r="A2" s="12" t="inlineStr">
        <is>
          <t>BUS105</t>
        </is>
      </c>
      <c r="B2" s="12" t="inlineStr">
        <is>
          <t>Missing Assignment</t>
        </is>
      </c>
      <c r="C2" s="13" t="inlineStr">
        <is>
          <t>W01 Participate</t>
        </is>
      </c>
      <c r="D2" s="20" t="n">
        <v>2</v>
      </c>
      <c r="E2" s="20" t="n">
        <v>1</v>
      </c>
      <c r="G2" s="21" t="n"/>
      <c r="H2" s="14" t="n"/>
      <c r="I2" s="14">
        <f>H2+3</f>
        <v/>
      </c>
      <c r="J2" s="14">
        <f>(H2 + (7 - WEEKDAY(H2,1))) + 1</f>
        <v/>
      </c>
      <c r="K2" s="15">
        <f>F2*G2</f>
        <v/>
      </c>
      <c r="L2" s="13" t="inlineStr">
        <is>
          <t>Missing Assignment: W01 Participate</t>
        </is>
      </c>
      <c r="M2" s="13" t="inlineStr">
        <is>
          <t>Missing W01 Participate. Send a message to check in with this student and encourage timely submission of the missing assignment.</t>
        </is>
      </c>
    </row>
    <row r="3">
      <c r="A3" s="12" t="inlineStr">
        <is>
          <t>BUS105</t>
        </is>
      </c>
      <c r="B3" s="12" t="inlineStr">
        <is>
          <t>Missing Assignment</t>
        </is>
      </c>
      <c r="C3" s="13" t="inlineStr">
        <is>
          <t>W01 Practice</t>
        </is>
      </c>
      <c r="D3" s="20" t="n">
        <v>2</v>
      </c>
      <c r="E3" s="20" t="n">
        <v>1</v>
      </c>
      <c r="G3" s="21" t="n"/>
      <c r="H3" s="14" t="n"/>
      <c r="I3" s="14">
        <f>H3+3</f>
        <v/>
      </c>
      <c r="J3" s="14">
        <f>(H3 + (7 - WEEKDAY(H3,1))) + 1</f>
        <v/>
      </c>
      <c r="K3" s="15">
        <f>F3*G3</f>
        <v/>
      </c>
      <c r="L3" s="13" t="inlineStr">
        <is>
          <t>Missing Assignment: W01 Practice</t>
        </is>
      </c>
      <c r="M3" s="13" t="inlineStr">
        <is>
          <t>Missing W01 Practice. Send a message to check in with this student and encourage timely submission of the missing assignment.</t>
        </is>
      </c>
    </row>
    <row r="4">
      <c r="A4" s="12" t="inlineStr">
        <is>
          <t>BUS105</t>
        </is>
      </c>
      <c r="B4" s="12" t="inlineStr">
        <is>
          <t>Missing Assignment</t>
        </is>
      </c>
      <c r="C4" s="13" t="inlineStr">
        <is>
          <t>W01 Project</t>
        </is>
      </c>
      <c r="D4" s="20" t="n">
        <v>2</v>
      </c>
      <c r="E4" s="20" t="n">
        <v>1</v>
      </c>
      <c r="G4" s="21" t="n"/>
      <c r="H4" s="14" t="n"/>
      <c r="I4" s="14">
        <f>H4+3</f>
        <v/>
      </c>
      <c r="J4" s="14">
        <f>(H4 + (7 - WEEKDAY(H4,1))) + 1</f>
        <v/>
      </c>
      <c r="K4" s="15">
        <f>F4*G4</f>
        <v/>
      </c>
      <c r="L4" s="13" t="inlineStr">
        <is>
          <t>Missing Assignment: W01 Project</t>
        </is>
      </c>
      <c r="M4" s="13" t="inlineStr">
        <is>
          <t>Missing W01 Project. Send a message to check in with this student and encourage timely submission of the missing assignment.</t>
        </is>
      </c>
    </row>
    <row r="5">
      <c r="A5" s="12" t="inlineStr">
        <is>
          <t>BUS105</t>
        </is>
      </c>
      <c r="B5" s="12" t="inlineStr">
        <is>
          <t>Missing Assignment</t>
        </is>
      </c>
      <c r="C5" s="13" t="inlineStr">
        <is>
          <t>W01 Quiz: Syllabus</t>
        </is>
      </c>
      <c r="D5" s="20" t="n">
        <v>2</v>
      </c>
      <c r="E5" s="20" t="n">
        <v>1</v>
      </c>
      <c r="G5" s="21" t="n"/>
      <c r="H5" s="14" t="n"/>
      <c r="I5" s="14">
        <f>H5+3</f>
        <v/>
      </c>
      <c r="J5" s="14">
        <f>(H5 + (7 - WEEKDAY(H5,1))) + 1</f>
        <v/>
      </c>
      <c r="K5" s="15">
        <f>F5*G5</f>
        <v/>
      </c>
      <c r="L5" s="13" t="inlineStr">
        <is>
          <t>Missing Assignment: W01 Quiz: Syllabus</t>
        </is>
      </c>
      <c r="M5" s="13" t="inlineStr">
        <is>
          <t>Missing W01 Quiz: Syllabus. Send a message to check in with this student and encourage timely submission of the missing assignment.</t>
        </is>
      </c>
    </row>
    <row r="6">
      <c r="A6" s="12" t="inlineStr">
        <is>
          <t>BUS105</t>
        </is>
      </c>
      <c r="B6" s="12" t="inlineStr">
        <is>
          <t>Missing Assignment</t>
        </is>
      </c>
      <c r="C6" s="13" t="inlineStr">
        <is>
          <t>Week 1: 2+ Missing Assignments</t>
        </is>
      </c>
      <c r="D6" s="20" t="n">
        <v>2</v>
      </c>
      <c r="E6" s="20" t="n">
        <v>1</v>
      </c>
      <c r="G6" s="21" t="n"/>
      <c r="H6" s="14" t="n"/>
      <c r="I6" s="14">
        <f>H6+3</f>
        <v/>
      </c>
      <c r="J6" s="14">
        <f>(H6 + (7 - WEEKDAY(H6,1))) + 1</f>
        <v/>
      </c>
      <c r="K6" s="15">
        <f>F6*G6</f>
        <v/>
      </c>
      <c r="L6" s="13" t="inlineStr">
        <is>
          <t>Week 1: 2+ Missing Assignments</t>
        </is>
      </c>
      <c r="M6" s="13" t="inlineStr">
        <is>
          <t>Missing Assignments: &lt;List of Assignments&gt;</t>
        </is>
      </c>
    </row>
    <row r="7">
      <c r="A7" s="12" t="inlineStr">
        <is>
          <t>BUS105</t>
        </is>
      </c>
      <c r="B7" s="12" t="inlineStr">
        <is>
          <t>Missing Assignment</t>
        </is>
      </c>
      <c r="C7" s="13" t="inlineStr">
        <is>
          <t>W02 Participate</t>
        </is>
      </c>
      <c r="D7" s="20" t="n">
        <v>3</v>
      </c>
      <c r="E7" s="20" t="n">
        <v>1</v>
      </c>
      <c r="G7" s="21" t="n"/>
      <c r="H7" s="14" t="n"/>
      <c r="I7" s="14">
        <f>H7+3</f>
        <v/>
      </c>
      <c r="J7" s="14">
        <f>(H7 + (7 - WEEKDAY(H7,1))) + 1</f>
        <v/>
      </c>
      <c r="K7" s="15">
        <f>F7*G7</f>
        <v/>
      </c>
      <c r="L7" s="13" t="inlineStr">
        <is>
          <t>Missing Assignment: W02 Participate</t>
        </is>
      </c>
      <c r="M7" s="13" t="inlineStr">
        <is>
          <t>Missing W02 Participate. Send a message to check in with this student and encourage timely submission of the missing assignment.</t>
        </is>
      </c>
    </row>
    <row r="8">
      <c r="A8" s="12" t="inlineStr">
        <is>
          <t>BUS105</t>
        </is>
      </c>
      <c r="B8" s="12" t="inlineStr">
        <is>
          <t>Missing Assignment</t>
        </is>
      </c>
      <c r="C8" s="13" t="inlineStr">
        <is>
          <t>W02 Practice</t>
        </is>
      </c>
      <c r="D8" s="20" t="n">
        <v>3</v>
      </c>
      <c r="E8" s="20" t="n">
        <v>1</v>
      </c>
      <c r="G8" s="21" t="n"/>
      <c r="H8" s="14" t="n"/>
      <c r="I8" s="14">
        <f>H8+3</f>
        <v/>
      </c>
      <c r="J8" s="14">
        <f>(H8 + (7 - WEEKDAY(H8,1))) + 1</f>
        <v/>
      </c>
      <c r="K8" s="15">
        <f>F8*G8</f>
        <v/>
      </c>
      <c r="L8" s="13" t="inlineStr">
        <is>
          <t>Missing Assignment: W02 Practice</t>
        </is>
      </c>
      <c r="M8" s="13" t="inlineStr">
        <is>
          <t>Missing W02 Practice. Send a message to check in with this student and encourage timely submission of the missing assignment.</t>
        </is>
      </c>
    </row>
    <row r="9">
      <c r="A9" s="12" t="inlineStr">
        <is>
          <t>BUS105</t>
        </is>
      </c>
      <c r="B9" s="12" t="inlineStr">
        <is>
          <t>Missing Assignment</t>
        </is>
      </c>
      <c r="C9" s="13" t="inlineStr">
        <is>
          <t>W02 Project</t>
        </is>
      </c>
      <c r="D9" s="20" t="n">
        <v>3</v>
      </c>
      <c r="E9" s="20" t="n">
        <v>1</v>
      </c>
      <c r="G9" s="21" t="n"/>
      <c r="H9" s="14" t="n"/>
      <c r="I9" s="14">
        <f>H9+3</f>
        <v/>
      </c>
      <c r="J9" s="14">
        <f>(H9 + (7 - WEEKDAY(H9,1))) + 1</f>
        <v/>
      </c>
      <c r="K9" s="15">
        <f>F9*G9</f>
        <v/>
      </c>
      <c r="L9" s="13" t="inlineStr">
        <is>
          <t>Missing Assignment: W02 Project</t>
        </is>
      </c>
      <c r="M9" s="13" t="inlineStr">
        <is>
          <t>Missing W02 Project. Send a message to check in with this student and encourage timely submission of the missing assignment.</t>
        </is>
      </c>
    </row>
    <row r="10">
      <c r="A10" s="12" t="inlineStr">
        <is>
          <t>BUS105</t>
        </is>
      </c>
      <c r="B10" s="12" t="inlineStr">
        <is>
          <t>Missing Assignment</t>
        </is>
      </c>
      <c r="C10" s="13" t="inlineStr">
        <is>
          <t>Week 2: 2+ Missing Assignments</t>
        </is>
      </c>
      <c r="D10" s="20" t="n">
        <v>3</v>
      </c>
      <c r="E10" s="20" t="n">
        <v>1</v>
      </c>
      <c r="G10" s="21" t="n"/>
      <c r="H10" s="14" t="n"/>
      <c r="I10" s="14">
        <f>H10+3</f>
        <v/>
      </c>
      <c r="J10" s="14">
        <f>(H10 + (7 - WEEKDAY(H10,1))) + 1</f>
        <v/>
      </c>
      <c r="K10" s="15">
        <f>F10*G10</f>
        <v/>
      </c>
      <c r="L10" s="13" t="inlineStr">
        <is>
          <t>Week 2: 2+ Missing Assignments</t>
        </is>
      </c>
      <c r="M10" s="13" t="inlineStr">
        <is>
          <t>Missing Assignments: &lt;List of Assignments&gt;</t>
        </is>
      </c>
    </row>
    <row r="11">
      <c r="A11" s="12" t="inlineStr">
        <is>
          <t>BUS105</t>
        </is>
      </c>
      <c r="B11" s="12" t="inlineStr">
        <is>
          <t>Missing Assignment</t>
        </is>
      </c>
      <c r="C11" s="13" t="inlineStr">
        <is>
          <t>W03 Participate</t>
        </is>
      </c>
      <c r="D11" s="20" t="n">
        <v>4</v>
      </c>
      <c r="E11" s="20" t="n">
        <v>1</v>
      </c>
      <c r="G11" s="21" t="n"/>
      <c r="H11" s="14" t="n"/>
      <c r="I11" s="14">
        <f>H11+3</f>
        <v/>
      </c>
      <c r="J11" s="14">
        <f>(H11 + (7 - WEEKDAY(H11,1))) + 1</f>
        <v/>
      </c>
      <c r="K11" s="15">
        <f>F11*G11</f>
        <v/>
      </c>
      <c r="L11" s="13" t="inlineStr">
        <is>
          <t>Missing Assignment: W03 Participate</t>
        </is>
      </c>
      <c r="M11" s="13" t="inlineStr">
        <is>
          <t>Missing W03 Participate. Send a message to check in with this student and encourage timely submission of the missing assignment.</t>
        </is>
      </c>
    </row>
    <row r="12">
      <c r="A12" s="12" t="inlineStr">
        <is>
          <t>BUS105</t>
        </is>
      </c>
      <c r="B12" s="12" t="inlineStr">
        <is>
          <t>Missing Assignment</t>
        </is>
      </c>
      <c r="C12" s="13" t="inlineStr">
        <is>
          <t>W03 Practice</t>
        </is>
      </c>
      <c r="D12" s="20" t="n">
        <v>4</v>
      </c>
      <c r="E12" s="20" t="n">
        <v>1</v>
      </c>
      <c r="G12" s="21" t="n"/>
      <c r="H12" s="14" t="n"/>
      <c r="I12" s="14">
        <f>H12+3</f>
        <v/>
      </c>
      <c r="J12" s="14">
        <f>(H12 + (7 - WEEKDAY(H12,1))) + 1</f>
        <v/>
      </c>
      <c r="K12" s="15">
        <f>F12*G12</f>
        <v/>
      </c>
      <c r="L12" s="13" t="inlineStr">
        <is>
          <t>Missing Assignment: W03 Practice</t>
        </is>
      </c>
      <c r="M12" s="13" t="inlineStr">
        <is>
          <t>Missing W03 Practice. Send a message to check in with this student and encourage timely submission of the missing assignment.</t>
        </is>
      </c>
    </row>
    <row r="13">
      <c r="A13" s="12" t="inlineStr">
        <is>
          <t>BUS105</t>
        </is>
      </c>
      <c r="B13" s="12" t="inlineStr">
        <is>
          <t>Missing Assignment</t>
        </is>
      </c>
      <c r="C13" s="13" t="inlineStr">
        <is>
          <t>W03 Project</t>
        </is>
      </c>
      <c r="D13" s="20" t="n">
        <v>4</v>
      </c>
      <c r="E13" s="20" t="n">
        <v>1</v>
      </c>
      <c r="G13" s="21" t="n"/>
      <c r="H13" s="14" t="n"/>
      <c r="I13" s="14">
        <f>H13+3</f>
        <v/>
      </c>
      <c r="J13" s="14">
        <f>(H13 + (7 - WEEKDAY(H13,1))) + 1</f>
        <v/>
      </c>
      <c r="K13" s="15">
        <f>F13*G13</f>
        <v/>
      </c>
      <c r="L13" s="13" t="inlineStr">
        <is>
          <t>Missing Assignment: W03 Project</t>
        </is>
      </c>
      <c r="M13" s="13" t="inlineStr">
        <is>
          <t>Missing W03 Project. Send a message to check in with this student and encourage timely submission of the missing assignment.</t>
        </is>
      </c>
    </row>
    <row r="14">
      <c r="A14" s="12" t="inlineStr">
        <is>
          <t>BUS105</t>
        </is>
      </c>
      <c r="B14" s="12" t="inlineStr">
        <is>
          <t>Missing Assignment</t>
        </is>
      </c>
      <c r="C14" s="13" t="inlineStr">
        <is>
          <t>Week 3: 2+ Missing Assignments</t>
        </is>
      </c>
      <c r="D14" s="20" t="n">
        <v>4</v>
      </c>
      <c r="E14" s="20" t="n">
        <v>1</v>
      </c>
      <c r="G14" s="21" t="n"/>
      <c r="H14" s="14" t="n"/>
      <c r="I14" s="14">
        <f>H14+3</f>
        <v/>
      </c>
      <c r="J14" s="14">
        <f>(H14 + (7 - WEEKDAY(H14,1))) + 1</f>
        <v/>
      </c>
      <c r="K14" s="15">
        <f>F14*G14</f>
        <v/>
      </c>
      <c r="L14" s="13" t="inlineStr">
        <is>
          <t>Week 3: 2+ Missing Assignments</t>
        </is>
      </c>
      <c r="M14" s="13" t="inlineStr">
        <is>
          <t>Missing Assignments: &lt;List of Assignments&gt;</t>
        </is>
      </c>
    </row>
    <row r="15">
      <c r="A15" s="12" t="inlineStr">
        <is>
          <t>BUS105</t>
        </is>
      </c>
      <c r="B15" s="12" t="inlineStr">
        <is>
          <t>Missing Assignment</t>
        </is>
      </c>
      <c r="C15" s="13" t="inlineStr">
        <is>
          <t>W04 Participate</t>
        </is>
      </c>
      <c r="D15" s="20" t="n">
        <v>5</v>
      </c>
      <c r="E15" s="20" t="n">
        <v>1</v>
      </c>
      <c r="G15" s="21" t="n"/>
      <c r="H15" s="14" t="n"/>
      <c r="I15" s="14">
        <f>H15+3</f>
        <v/>
      </c>
      <c r="J15" s="14">
        <f>(H15 + (7 - WEEKDAY(H15,1))) + 1</f>
        <v/>
      </c>
      <c r="K15" s="15">
        <f>F15*G15</f>
        <v/>
      </c>
      <c r="L15" s="13" t="inlineStr">
        <is>
          <t>Missing Assignment: W04 Participate</t>
        </is>
      </c>
      <c r="M15" s="13" t="inlineStr">
        <is>
          <t>Missing W04 Participate. Send a message to check in with this student and encourage timely submission of the missing assignment.</t>
        </is>
      </c>
    </row>
    <row r="16">
      <c r="A16" s="12" t="inlineStr">
        <is>
          <t>BUS105</t>
        </is>
      </c>
      <c r="B16" s="12" t="inlineStr">
        <is>
          <t>Missing Assignment</t>
        </is>
      </c>
      <c r="C16" s="13" t="inlineStr">
        <is>
          <t>W04 Practice</t>
        </is>
      </c>
      <c r="D16" s="20" t="n">
        <v>5</v>
      </c>
      <c r="E16" s="20" t="n">
        <v>1</v>
      </c>
      <c r="G16" s="21" t="n"/>
      <c r="H16" s="14" t="n"/>
      <c r="I16" s="14">
        <f>H16+3</f>
        <v/>
      </c>
      <c r="J16" s="14">
        <f>(H16 + (7 - WEEKDAY(H16,1))) + 1</f>
        <v/>
      </c>
      <c r="K16" s="15">
        <f>F16*G16</f>
        <v/>
      </c>
      <c r="L16" s="13" t="inlineStr">
        <is>
          <t>Missing Assignment: W04 Practice</t>
        </is>
      </c>
      <c r="M16" s="13" t="inlineStr">
        <is>
          <t>Missing W04 Practice. Send a message to check in with this student and encourage timely submission of the missing assignment.</t>
        </is>
      </c>
    </row>
    <row r="17">
      <c r="A17" s="12" t="inlineStr">
        <is>
          <t>BUS105</t>
        </is>
      </c>
      <c r="B17" s="12" t="inlineStr">
        <is>
          <t>Missing Assignment</t>
        </is>
      </c>
      <c r="C17" s="13" t="inlineStr">
        <is>
          <t>W04 Project</t>
        </is>
      </c>
      <c r="D17" s="20" t="n">
        <v>5</v>
      </c>
      <c r="E17" s="20" t="n">
        <v>1</v>
      </c>
      <c r="G17" s="21" t="n"/>
      <c r="H17" s="14" t="n"/>
      <c r="I17" s="14">
        <f>H17+3</f>
        <v/>
      </c>
      <c r="J17" s="14">
        <f>(H17 + (7 - WEEKDAY(H17,1))) + 1</f>
        <v/>
      </c>
      <c r="K17" s="15">
        <f>F17*G17</f>
        <v/>
      </c>
      <c r="L17" s="13" t="inlineStr">
        <is>
          <t>Missing Assignment: W04 Project</t>
        </is>
      </c>
      <c r="M17" s="13" t="inlineStr">
        <is>
          <t>Missing W04 Project. Send a message to check in with this student and encourage timely submission of the missing assignment.</t>
        </is>
      </c>
    </row>
    <row r="18">
      <c r="A18" s="12" t="inlineStr">
        <is>
          <t>BUS105</t>
        </is>
      </c>
      <c r="B18" s="12" t="inlineStr">
        <is>
          <t>Missing Assignment</t>
        </is>
      </c>
      <c r="C18" s="13" t="inlineStr">
        <is>
          <t>Week 4: 2+ Missing Assignments</t>
        </is>
      </c>
      <c r="D18" s="20" t="n">
        <v>5</v>
      </c>
      <c r="E18" s="20" t="n">
        <v>1</v>
      </c>
      <c r="G18" s="21" t="n"/>
      <c r="H18" s="14" t="n"/>
      <c r="I18" s="14">
        <f>H18+3</f>
        <v/>
      </c>
      <c r="J18" s="14">
        <f>(H18 + (7 - WEEKDAY(H18,1))) + 1</f>
        <v/>
      </c>
      <c r="K18" s="15">
        <f>F18*G18</f>
        <v/>
      </c>
      <c r="L18" s="13" t="inlineStr">
        <is>
          <t>Week 4: 2+ Missing Assignments</t>
        </is>
      </c>
      <c r="M18" s="13" t="inlineStr">
        <is>
          <t>Missing Assignments: &lt;List of Assignments&gt;</t>
        </is>
      </c>
    </row>
    <row r="19">
      <c r="A19" s="12" t="inlineStr">
        <is>
          <t>BUS105</t>
        </is>
      </c>
      <c r="B19" s="12" t="inlineStr">
        <is>
          <t>Missing Assignment</t>
        </is>
      </c>
      <c r="C19" s="13" t="inlineStr">
        <is>
          <t>W05 Participate</t>
        </is>
      </c>
      <c r="D19" s="20" t="n">
        <v>6</v>
      </c>
      <c r="E19" s="20" t="n">
        <v>1</v>
      </c>
      <c r="G19" s="21" t="n"/>
      <c r="H19" s="14" t="n"/>
      <c r="I19" s="14">
        <f>H19+3</f>
        <v/>
      </c>
      <c r="J19" s="14">
        <f>(H19 + (7 - WEEKDAY(H19,1))) + 1</f>
        <v/>
      </c>
      <c r="K19" s="15">
        <f>F19*G19</f>
        <v/>
      </c>
      <c r="L19" s="13" t="inlineStr">
        <is>
          <t>Missing Assignment: W05 Participate</t>
        </is>
      </c>
      <c r="M19" s="13" t="inlineStr">
        <is>
          <t>Missing W05 Participate. Send a message to check in with this student and encourage timely submission of the missing assignment.</t>
        </is>
      </c>
    </row>
    <row r="20">
      <c r="A20" s="12" t="inlineStr">
        <is>
          <t>BUS105</t>
        </is>
      </c>
      <c r="B20" s="12" t="inlineStr">
        <is>
          <t>Missing Assignment</t>
        </is>
      </c>
      <c r="C20" s="13" t="inlineStr">
        <is>
          <t>W05 Practice</t>
        </is>
      </c>
      <c r="D20" s="20" t="n">
        <v>6</v>
      </c>
      <c r="E20" s="20" t="n">
        <v>1</v>
      </c>
      <c r="G20" s="21" t="n"/>
      <c r="H20" s="14" t="n"/>
      <c r="I20" s="14">
        <f>H20+3</f>
        <v/>
      </c>
      <c r="J20" s="14">
        <f>(H20 + (7 - WEEKDAY(H20,1))) + 1</f>
        <v/>
      </c>
      <c r="K20" s="15">
        <f>F20*G20</f>
        <v/>
      </c>
      <c r="L20" s="13" t="inlineStr">
        <is>
          <t>Missing Assignment: W05 Practice</t>
        </is>
      </c>
      <c r="M20" s="13" t="inlineStr">
        <is>
          <t>Missing W05 Practice. Send a message to check in with this student and encourage timely submission of the missing assignment.</t>
        </is>
      </c>
    </row>
    <row r="21">
      <c r="A21" s="12" t="inlineStr">
        <is>
          <t>BUS105</t>
        </is>
      </c>
      <c r="B21" s="12" t="inlineStr">
        <is>
          <t>Missing Assignment</t>
        </is>
      </c>
      <c r="C21" s="13" t="inlineStr">
        <is>
          <t>W05 Project</t>
        </is>
      </c>
      <c r="D21" s="20" t="n">
        <v>6</v>
      </c>
      <c r="E21" s="20" t="n">
        <v>1</v>
      </c>
      <c r="G21" s="21" t="n"/>
      <c r="H21" s="14" t="n"/>
      <c r="I21" s="14">
        <f>H21+3</f>
        <v/>
      </c>
      <c r="J21" s="14">
        <f>(H21 + (7 - WEEKDAY(H21,1))) + 1</f>
        <v/>
      </c>
      <c r="K21" s="15">
        <f>F21*G21</f>
        <v/>
      </c>
      <c r="L21" s="13" t="inlineStr">
        <is>
          <t>Missing Assignment: W05 Project</t>
        </is>
      </c>
      <c r="M21" s="13" t="inlineStr">
        <is>
          <t>Missing W05 Project. Send a message to check in with this student and encourage timely submission of the missing assignment.</t>
        </is>
      </c>
    </row>
    <row r="22">
      <c r="A22" s="12" t="inlineStr">
        <is>
          <t>BUS105</t>
        </is>
      </c>
      <c r="B22" s="12" t="inlineStr">
        <is>
          <t>Missing Assignment</t>
        </is>
      </c>
      <c r="C22" s="13" t="inlineStr">
        <is>
          <t>Week 5: 2+ Missing Assignments</t>
        </is>
      </c>
      <c r="D22" s="20" t="n">
        <v>6</v>
      </c>
      <c r="E22" s="20" t="n">
        <v>1</v>
      </c>
      <c r="G22" s="21" t="n"/>
      <c r="H22" s="14" t="n"/>
      <c r="I22" s="14">
        <f>H22+3</f>
        <v/>
      </c>
      <c r="J22" s="14">
        <f>(H22 + (7 - WEEKDAY(H22,1))) + 1</f>
        <v/>
      </c>
      <c r="K22" s="15">
        <f>F22*G22</f>
        <v/>
      </c>
      <c r="L22" s="13" t="inlineStr">
        <is>
          <t>Week 5: 2+ Missing Assignments</t>
        </is>
      </c>
      <c r="M22" s="13" t="inlineStr">
        <is>
          <t>Missing Assignments: &lt;List of Assignments&gt;</t>
        </is>
      </c>
    </row>
    <row r="23" ht="15.95" customHeight="1">
      <c r="A23" s="12" t="inlineStr">
        <is>
          <t>BUS105</t>
        </is>
      </c>
      <c r="B23" s="16" t="inlineStr">
        <is>
          <t>Missing Assignment</t>
        </is>
      </c>
      <c r="C23" s="13" t="inlineStr">
        <is>
          <t>W06 Participate</t>
        </is>
      </c>
      <c r="D23" s="20" t="n">
        <v>7</v>
      </c>
      <c r="E23" s="20" t="n">
        <v>1</v>
      </c>
      <c r="G23" s="21" t="n"/>
      <c r="H23" s="14" t="n"/>
      <c r="I23" s="14">
        <f>H23+3</f>
        <v/>
      </c>
      <c r="J23" s="14">
        <f>(H23 + (7 - WEEKDAY(H23,1))) + 1</f>
        <v/>
      </c>
      <c r="K23" s="15">
        <f>F23*G23</f>
        <v/>
      </c>
      <c r="L23" s="13" t="inlineStr">
        <is>
          <t>Missing Assignment: W06 Participate</t>
        </is>
      </c>
      <c r="M23" s="13" t="inlineStr">
        <is>
          <t>Missing W06 Participate. Send a message to check in with this student and encourage timely submission of the missing assignment.</t>
        </is>
      </c>
    </row>
    <row r="24" ht="15.95" customHeight="1">
      <c r="A24" s="12" t="inlineStr">
        <is>
          <t>BUS105</t>
        </is>
      </c>
      <c r="B24" s="16" t="inlineStr">
        <is>
          <t>Missing Assignment</t>
        </is>
      </c>
      <c r="C24" s="13" t="inlineStr">
        <is>
          <t>W06 Practice</t>
        </is>
      </c>
      <c r="D24" s="20" t="n">
        <v>7</v>
      </c>
      <c r="E24" s="20" t="n">
        <v>1</v>
      </c>
      <c r="G24" s="21" t="n"/>
      <c r="H24" s="14" t="n"/>
      <c r="I24" s="14">
        <f>H24+3</f>
        <v/>
      </c>
      <c r="J24" s="14">
        <f>(H24 + (7 - WEEKDAY(H24,1))) + 1</f>
        <v/>
      </c>
      <c r="K24" s="15">
        <f>F24*G24</f>
        <v/>
      </c>
      <c r="L24" s="13" t="inlineStr">
        <is>
          <t>Missing Assignment: W06 Practice</t>
        </is>
      </c>
      <c r="M24" s="13" t="inlineStr">
        <is>
          <t>Missing W06 Practice. Send a message to check in with this student and encourage timely submission of the missing assignment.</t>
        </is>
      </c>
    </row>
    <row r="25">
      <c r="A25" s="12" t="inlineStr">
        <is>
          <t>BUS105</t>
        </is>
      </c>
      <c r="B25" s="12" t="inlineStr">
        <is>
          <t>Missing Assignment</t>
        </is>
      </c>
      <c r="C25" s="13" t="inlineStr">
        <is>
          <t>W06 Project</t>
        </is>
      </c>
      <c r="D25" s="20" t="n">
        <v>7</v>
      </c>
      <c r="E25" s="20" t="n">
        <v>1</v>
      </c>
      <c r="G25" s="21" t="n"/>
      <c r="H25" s="14" t="n"/>
      <c r="I25" s="14">
        <f>H25+3</f>
        <v/>
      </c>
      <c r="J25" s="14">
        <f>(H25 + (7 - WEEKDAY(H25,1))) + 1</f>
        <v/>
      </c>
      <c r="K25" s="15">
        <f>F25*G25</f>
        <v/>
      </c>
      <c r="L25" s="13" t="inlineStr">
        <is>
          <t>Missing Assignment: W06 Project</t>
        </is>
      </c>
      <c r="M25" s="13" t="inlineStr">
        <is>
          <t>Missing W06 Project. Send a message to check in with this student and encourage timely submission of the missing assignment.</t>
        </is>
      </c>
    </row>
    <row r="26">
      <c r="A26" s="12" t="inlineStr">
        <is>
          <t>BUS105</t>
        </is>
      </c>
      <c r="B26" s="12" t="inlineStr">
        <is>
          <t>Missing Assignment</t>
        </is>
      </c>
      <c r="C26" s="13" t="inlineStr">
        <is>
          <t>Week 6: 2+ Missing Assignments</t>
        </is>
      </c>
      <c r="D26" s="20" t="n">
        <v>7</v>
      </c>
      <c r="E26" s="20" t="n">
        <v>1</v>
      </c>
      <c r="G26" s="21" t="n"/>
      <c r="H26" s="14" t="n"/>
      <c r="I26" s="14">
        <f>H26+3</f>
        <v/>
      </c>
      <c r="J26" s="14">
        <f>(H26 + (7 - WEEKDAY(H26,1))) + 1</f>
        <v/>
      </c>
      <c r="K26" s="15">
        <f>F26*G26</f>
        <v/>
      </c>
      <c r="L26" s="13" t="inlineStr">
        <is>
          <t>Week 6: 2+ Missing Assignments</t>
        </is>
      </c>
      <c r="M26" s="13" t="inlineStr">
        <is>
          <t>Missing Assignments: &lt;List of Assignments&gt;</t>
        </is>
      </c>
    </row>
    <row r="27">
      <c r="A27" s="12" t="inlineStr">
        <is>
          <t>BUS105</t>
        </is>
      </c>
      <c r="B27" s="12" t="inlineStr">
        <is>
          <t>Low Performance</t>
        </is>
      </c>
      <c r="C27" s="13" t="inlineStr">
        <is>
          <t>W01 Practice</t>
        </is>
      </c>
      <c r="D27" s="20" t="n">
        <v>2</v>
      </c>
      <c r="E27" s="20" t="n">
        <v>1</v>
      </c>
      <c r="F27" s="22" t="n">
        <v>15</v>
      </c>
      <c r="G27" s="21" t="n">
        <v>0.85</v>
      </c>
      <c r="H27" s="14" t="n"/>
      <c r="I27" s="14">
        <f>H27+3</f>
        <v/>
      </c>
      <c r="J27" s="14">
        <f>(H27 + (7 - WEEKDAY(H27,1))) + 1</f>
        <v/>
      </c>
      <c r="K27" s="15">
        <f>F27*G27</f>
        <v/>
      </c>
      <c r="L27" s="13" t="inlineStr">
        <is>
          <t>Low Performance (Practice)</t>
        </is>
      </c>
      <c r="M27" s="13" t="inlineStr">
        <is>
          <t>Remind students that they can retake the quiz for more points. There is no reason not to get 100%.</t>
        </is>
      </c>
    </row>
    <row r="28">
      <c r="A28" s="12" t="inlineStr">
        <is>
          <t>BUS105</t>
        </is>
      </c>
      <c r="B28" s="12" t="inlineStr">
        <is>
          <t>Low Performance</t>
        </is>
      </c>
      <c r="C28" s="13" t="inlineStr">
        <is>
          <t>W01 Project</t>
        </is>
      </c>
      <c r="D28" s="20" t="n">
        <v>2</v>
      </c>
      <c r="E28" s="20" t="n">
        <v>1</v>
      </c>
      <c r="F28" s="22" t="n">
        <v>20</v>
      </c>
      <c r="G28" s="21" t="n">
        <v>0.85</v>
      </c>
      <c r="H28" s="14" t="n"/>
      <c r="I28" s="14">
        <f>H28+3</f>
        <v/>
      </c>
      <c r="J28" s="14">
        <f>(H28 + (7 - WEEKDAY(H28,1))) + 1</f>
        <v/>
      </c>
      <c r="K28" s="15">
        <f>F28*G28</f>
        <v/>
      </c>
      <c r="L28" s="13" t="inlineStr">
        <is>
          <t>Low Performance (Project)</t>
        </is>
      </c>
      <c r="M28" s="13" t="inlineStr">
        <is>
          <t>Help students understand the concept as it will be used in the final project</t>
        </is>
      </c>
    </row>
    <row r="29">
      <c r="A29" s="12" t="inlineStr">
        <is>
          <t>BUS105</t>
        </is>
      </c>
      <c r="B29" s="12" t="inlineStr">
        <is>
          <t>Low Performance</t>
        </is>
      </c>
      <c r="C29" s="13" t="inlineStr">
        <is>
          <t>W02 Practice</t>
        </is>
      </c>
      <c r="D29" s="20" t="n">
        <v>3</v>
      </c>
      <c r="E29" s="20" t="n">
        <v>1</v>
      </c>
      <c r="F29" s="22" t="n">
        <v>15</v>
      </c>
      <c r="G29" s="21" t="n">
        <v>0.85</v>
      </c>
      <c r="H29" s="14" t="n"/>
      <c r="I29" s="14">
        <f>H29+3</f>
        <v/>
      </c>
      <c r="J29" s="14">
        <f>(H29 + (7 - WEEKDAY(H29,1))) + 1</f>
        <v/>
      </c>
      <c r="K29" s="15">
        <f>F29*G29</f>
        <v/>
      </c>
      <c r="L29" s="13" t="inlineStr">
        <is>
          <t>Low Performance (Practice)</t>
        </is>
      </c>
      <c r="M29" s="13" t="inlineStr">
        <is>
          <t>Remind students that they can retake the quiz for more points. There is no reason not to get 100%.</t>
        </is>
      </c>
    </row>
    <row r="30">
      <c r="A30" s="12" t="inlineStr">
        <is>
          <t>BUS105</t>
        </is>
      </c>
      <c r="B30" s="12" t="inlineStr">
        <is>
          <t>Low Performance</t>
        </is>
      </c>
      <c r="C30" s="13" t="inlineStr">
        <is>
          <t>W02 Project</t>
        </is>
      </c>
      <c r="D30" s="20" t="n">
        <v>3</v>
      </c>
      <c r="E30" s="20" t="n">
        <v>1</v>
      </c>
      <c r="F30" s="22" t="n">
        <v>20</v>
      </c>
      <c r="G30" s="21" t="n">
        <v>0.85</v>
      </c>
      <c r="H30" s="14" t="n"/>
      <c r="I30" s="14">
        <f>H30+3</f>
        <v/>
      </c>
      <c r="J30" s="14">
        <f>(H30 + (7 - WEEKDAY(H30,1))) + 1</f>
        <v/>
      </c>
      <c r="K30" s="15">
        <f>F30*G30</f>
        <v/>
      </c>
      <c r="L30" s="13" t="inlineStr">
        <is>
          <t>Low Performance (Project)</t>
        </is>
      </c>
      <c r="M30" s="13" t="inlineStr">
        <is>
          <t>Help students understand the concept as it will be used in the final project</t>
        </is>
      </c>
    </row>
    <row r="31">
      <c r="A31" s="12" t="inlineStr">
        <is>
          <t>BUS105</t>
        </is>
      </c>
      <c r="B31" s="12" t="inlineStr">
        <is>
          <t>Low Performance</t>
        </is>
      </c>
      <c r="C31" s="13" t="inlineStr">
        <is>
          <t>W03 Practice</t>
        </is>
      </c>
      <c r="D31" s="20" t="n">
        <v>4</v>
      </c>
      <c r="E31" s="20" t="n">
        <v>1</v>
      </c>
      <c r="F31" s="22" t="n">
        <v>15</v>
      </c>
      <c r="G31" s="21" t="n">
        <v>0.85</v>
      </c>
      <c r="H31" s="14" t="n"/>
      <c r="I31" s="14">
        <f>H31+3</f>
        <v/>
      </c>
      <c r="J31" s="14">
        <f>(H31 + (7 - WEEKDAY(H31,1))) + 1</f>
        <v/>
      </c>
      <c r="K31" s="15">
        <f>F31*G31</f>
        <v/>
      </c>
      <c r="L31" s="13" t="inlineStr">
        <is>
          <t>Low Performance (Practice)</t>
        </is>
      </c>
      <c r="M31" s="13" t="inlineStr">
        <is>
          <t>Remind students that they can retake the quiz for more points. There is no reason not to get 100%.</t>
        </is>
      </c>
    </row>
    <row r="32">
      <c r="A32" s="12" t="inlineStr">
        <is>
          <t>BUS105</t>
        </is>
      </c>
      <c r="B32" s="12" t="inlineStr">
        <is>
          <t>Low Performance</t>
        </is>
      </c>
      <c r="C32" s="13" t="inlineStr">
        <is>
          <t>W03 Project</t>
        </is>
      </c>
      <c r="D32" s="20" t="n">
        <v>4</v>
      </c>
      <c r="E32" s="20" t="n">
        <v>1</v>
      </c>
      <c r="F32" s="22" t="n">
        <v>20</v>
      </c>
      <c r="G32" s="21" t="n">
        <v>0.85</v>
      </c>
      <c r="H32" s="14" t="n"/>
      <c r="I32" s="14">
        <f>H32+3</f>
        <v/>
      </c>
      <c r="J32" s="14">
        <f>(H32 + (7 - WEEKDAY(H32,1))) + 1</f>
        <v/>
      </c>
      <c r="K32" s="15">
        <f>F32*G32</f>
        <v/>
      </c>
      <c r="L32" s="13" t="inlineStr">
        <is>
          <t>Low Performance (Project)</t>
        </is>
      </c>
      <c r="M32" s="13" t="inlineStr">
        <is>
          <t>Help students understand the concept as it will be used in the final project</t>
        </is>
      </c>
    </row>
    <row r="33">
      <c r="A33" s="12" t="inlineStr">
        <is>
          <t>BUS105</t>
        </is>
      </c>
      <c r="B33" s="12" t="inlineStr">
        <is>
          <t>Low Performance</t>
        </is>
      </c>
      <c r="C33" s="13" t="inlineStr">
        <is>
          <t>W04 Practice</t>
        </is>
      </c>
      <c r="D33" s="20" t="n">
        <v>5</v>
      </c>
      <c r="E33" s="20" t="n">
        <v>1</v>
      </c>
      <c r="F33" s="22" t="n">
        <v>15</v>
      </c>
      <c r="G33" s="21" t="n">
        <v>0.85</v>
      </c>
      <c r="H33" s="14" t="n"/>
      <c r="I33" s="14">
        <f>H33+3</f>
        <v/>
      </c>
      <c r="J33" s="14">
        <f>(H33 + (7 - WEEKDAY(H33,1))) + 1</f>
        <v/>
      </c>
      <c r="K33" s="15">
        <f>F33*G33</f>
        <v/>
      </c>
      <c r="L33" s="13" t="inlineStr">
        <is>
          <t>Low Performance (Practice)</t>
        </is>
      </c>
      <c r="M33" s="13" t="inlineStr">
        <is>
          <t>Remind students that they can retake the quiz for more points. There is no reason not to get 100%.</t>
        </is>
      </c>
    </row>
    <row r="34">
      <c r="A34" s="12" t="inlineStr">
        <is>
          <t>BUS105</t>
        </is>
      </c>
      <c r="B34" s="12" t="inlineStr">
        <is>
          <t>Low Performance</t>
        </is>
      </c>
      <c r="C34" s="13" t="inlineStr">
        <is>
          <t>W04 Project</t>
        </is>
      </c>
      <c r="D34" s="20" t="n">
        <v>5</v>
      </c>
      <c r="E34" s="20" t="n">
        <v>1</v>
      </c>
      <c r="F34" s="22" t="n">
        <v>20</v>
      </c>
      <c r="G34" s="21" t="n">
        <v>0.85</v>
      </c>
      <c r="H34" s="14" t="n"/>
      <c r="I34" s="14">
        <f>H34+3</f>
        <v/>
      </c>
      <c r="J34" s="14">
        <f>(H34 + (7 - WEEKDAY(H34,1))) + 1</f>
        <v/>
      </c>
      <c r="K34" s="15">
        <f>F34*G34</f>
        <v/>
      </c>
      <c r="L34" s="13" t="inlineStr">
        <is>
          <t>Low Performance (Project)</t>
        </is>
      </c>
      <c r="M34" s="13" t="inlineStr">
        <is>
          <t>Help students understand the concept as it will be used in the final project</t>
        </is>
      </c>
    </row>
    <row r="35">
      <c r="A35" s="12" t="inlineStr">
        <is>
          <t>BUS105</t>
        </is>
      </c>
      <c r="B35" s="12" t="inlineStr">
        <is>
          <t>Low Performance</t>
        </is>
      </c>
      <c r="C35" s="13" t="inlineStr">
        <is>
          <t>W05 Practice</t>
        </is>
      </c>
      <c r="D35" s="20" t="n">
        <v>6</v>
      </c>
      <c r="E35" s="20" t="n">
        <v>1</v>
      </c>
      <c r="F35" s="22" t="n">
        <v>15</v>
      </c>
      <c r="G35" s="21" t="n">
        <v>0.85</v>
      </c>
      <c r="H35" s="14" t="n"/>
      <c r="I35" s="14">
        <f>H35+3</f>
        <v/>
      </c>
      <c r="J35" s="14">
        <f>(H35 + (7 - WEEKDAY(H35,1))) + 1</f>
        <v/>
      </c>
      <c r="K35" s="15">
        <f>F35*G35</f>
        <v/>
      </c>
      <c r="L35" s="13" t="inlineStr">
        <is>
          <t>Low Performance (Practice)</t>
        </is>
      </c>
      <c r="M35" s="13" t="inlineStr">
        <is>
          <t>Remind students that they can retake the quiz for more points. There is no reason not to get 100%.</t>
        </is>
      </c>
    </row>
    <row r="36">
      <c r="A36" s="12" t="inlineStr">
        <is>
          <t>BUS105</t>
        </is>
      </c>
      <c r="B36" s="12" t="inlineStr">
        <is>
          <t>Low Performance</t>
        </is>
      </c>
      <c r="C36" s="13" t="inlineStr">
        <is>
          <t>W05 Project</t>
        </is>
      </c>
      <c r="D36" s="20" t="n">
        <v>6</v>
      </c>
      <c r="E36" s="20" t="n">
        <v>1</v>
      </c>
      <c r="F36" s="22" t="n">
        <v>20</v>
      </c>
      <c r="G36" s="21" t="n">
        <v>0.85</v>
      </c>
      <c r="H36" s="14" t="n"/>
      <c r="I36" s="14">
        <f>H36+3</f>
        <v/>
      </c>
      <c r="J36" s="14">
        <f>(H36 + (7 - WEEKDAY(H36,1))) + 1</f>
        <v/>
      </c>
      <c r="K36" s="15">
        <f>F36*G36</f>
        <v/>
      </c>
      <c r="L36" s="13" t="inlineStr">
        <is>
          <t>Low Performance (Project)</t>
        </is>
      </c>
      <c r="M36" s="13" t="inlineStr">
        <is>
          <t>Help students understand the concept as it will be used in the final project</t>
        </is>
      </c>
    </row>
    <row r="37">
      <c r="A37" s="12" t="inlineStr">
        <is>
          <t>BUS105</t>
        </is>
      </c>
      <c r="B37" s="12" t="inlineStr">
        <is>
          <t>Low Performance</t>
        </is>
      </c>
      <c r="C37" s="13" t="inlineStr">
        <is>
          <t>W06 Practice</t>
        </is>
      </c>
      <c r="D37" s="20" t="n">
        <v>7</v>
      </c>
      <c r="E37" s="20" t="n">
        <v>1</v>
      </c>
      <c r="F37" s="22" t="n">
        <v>15</v>
      </c>
      <c r="G37" s="21" t="n">
        <v>0.85</v>
      </c>
      <c r="H37" s="14" t="n"/>
      <c r="I37" s="14">
        <f>H37+3</f>
        <v/>
      </c>
      <c r="J37" s="14">
        <f>(H37 + (7 - WEEKDAY(H37,1))) + 1</f>
        <v/>
      </c>
      <c r="K37" s="15">
        <f>F37*G37</f>
        <v/>
      </c>
      <c r="L37" s="13" t="inlineStr">
        <is>
          <t>Low Performance (Practice)</t>
        </is>
      </c>
      <c r="M37" s="13" t="inlineStr">
        <is>
          <t>Remind students that they can retake the quiz for more points. There is no reason not to get 100%.</t>
        </is>
      </c>
    </row>
    <row r="38">
      <c r="A38" s="12" t="inlineStr">
        <is>
          <t>BUS105</t>
        </is>
      </c>
      <c r="B38" s="12" t="inlineStr">
        <is>
          <t>Low Performance</t>
        </is>
      </c>
      <c r="C38" s="13" t="inlineStr">
        <is>
          <t>W06 Project</t>
        </is>
      </c>
      <c r="D38" s="20" t="n">
        <v>7</v>
      </c>
      <c r="E38" s="20" t="n">
        <v>1</v>
      </c>
      <c r="F38" s="22" t="n">
        <v>20</v>
      </c>
      <c r="G38" s="21" t="n">
        <v>0.85</v>
      </c>
      <c r="H38" s="14" t="n"/>
      <c r="I38" s="14">
        <f>H38+3</f>
        <v/>
      </c>
      <c r="J38" s="14">
        <f>(H38 + (7 - WEEKDAY(H38,1))) + 1</f>
        <v/>
      </c>
      <c r="K38" s="15">
        <f>F38*G38</f>
        <v/>
      </c>
      <c r="L38" s="13" t="inlineStr">
        <is>
          <t>Low Performance (Project)</t>
        </is>
      </c>
      <c r="M38" s="13" t="inlineStr">
        <is>
          <t>Help students understand the concept as it will be used in the final project</t>
        </is>
      </c>
    </row>
    <row r="39">
      <c r="A39" s="12" t="inlineStr">
        <is>
          <t>BUS105</t>
        </is>
      </c>
      <c r="B39" s="12" t="inlineStr">
        <is>
          <t>High Performance</t>
        </is>
      </c>
      <c r="C39" s="13" t="inlineStr">
        <is>
          <t>W01 Project</t>
        </is>
      </c>
      <c r="D39" s="20" t="n">
        <v>2</v>
      </c>
      <c r="E39" s="20" t="n">
        <v>4</v>
      </c>
      <c r="F39" s="22" t="n">
        <v>20</v>
      </c>
      <c r="G39" s="21" t="n">
        <v>0.85</v>
      </c>
      <c r="H39" s="14" t="n"/>
      <c r="I39" s="14">
        <f>H39+3</f>
        <v/>
      </c>
      <c r="J39" s="14">
        <f>(H39 + (7 - WEEKDAY(H39,1))) + 1</f>
        <v/>
      </c>
      <c r="K39" s="15">
        <f>F39*G39</f>
        <v/>
      </c>
      <c r="L39" s="13" t="inlineStr">
        <is>
          <t>High-Performance Outreach (Week 1)</t>
        </is>
      </c>
      <c r="M39" s="13" t="inlineStr">
        <is>
          <t>Send a message to praise students who performed well on the weekly project.</t>
        </is>
      </c>
    </row>
    <row r="40">
      <c r="A40" s="12" t="inlineStr">
        <is>
          <t>BUS105</t>
        </is>
      </c>
      <c r="B40" s="12" t="inlineStr">
        <is>
          <t>High Performance</t>
        </is>
      </c>
      <c r="C40" s="13" t="inlineStr">
        <is>
          <t>W02 Project</t>
        </is>
      </c>
      <c r="D40" s="20" t="n">
        <v>3</v>
      </c>
      <c r="E40" s="20" t="n">
        <v>4</v>
      </c>
      <c r="F40" s="22" t="n">
        <v>20</v>
      </c>
      <c r="G40" s="21" t="n">
        <v>0.85</v>
      </c>
      <c r="H40" s="14" t="n"/>
      <c r="I40" s="14">
        <f>H40+3</f>
        <v/>
      </c>
      <c r="J40" s="14">
        <f>(H40 + (7 - WEEKDAY(H40,1))) + 1</f>
        <v/>
      </c>
      <c r="K40" s="15">
        <f>F40*G40</f>
        <v/>
      </c>
      <c r="L40" s="13" t="inlineStr">
        <is>
          <t>High-Performance Outreach (Week 2)</t>
        </is>
      </c>
      <c r="M40" s="13" t="inlineStr">
        <is>
          <t>Send a message to praise students who performed well on the weekly project.</t>
        </is>
      </c>
    </row>
    <row r="41">
      <c r="A41" s="12" t="inlineStr">
        <is>
          <t>BUS105</t>
        </is>
      </c>
      <c r="B41" s="12" t="inlineStr">
        <is>
          <t>High Performance</t>
        </is>
      </c>
      <c r="C41" s="13" t="inlineStr">
        <is>
          <t>W03 Project</t>
        </is>
      </c>
      <c r="D41" s="20" t="n">
        <v>4</v>
      </c>
      <c r="E41" s="20" t="n">
        <v>4</v>
      </c>
      <c r="F41" s="22" t="n">
        <v>20</v>
      </c>
      <c r="G41" s="21" t="n">
        <v>0.85</v>
      </c>
      <c r="H41" s="14" t="n"/>
      <c r="I41" s="14">
        <f>H41+3</f>
        <v/>
      </c>
      <c r="J41" s="14">
        <f>(H41 + (7 - WEEKDAY(H41,1))) + 1</f>
        <v/>
      </c>
      <c r="K41" s="15">
        <f>F41*G41</f>
        <v/>
      </c>
      <c r="L41" s="13" t="inlineStr">
        <is>
          <t>High-Performance Outreach (Week 3)</t>
        </is>
      </c>
      <c r="M41" s="13" t="inlineStr">
        <is>
          <t>Send a message to praise students who performed well on the weekly project.</t>
        </is>
      </c>
    </row>
    <row r="42">
      <c r="A42" s="12" t="inlineStr">
        <is>
          <t>BUS105</t>
        </is>
      </c>
      <c r="B42" s="12" t="inlineStr">
        <is>
          <t>High Performance</t>
        </is>
      </c>
      <c r="C42" s="13" t="inlineStr">
        <is>
          <t>W04 Project</t>
        </is>
      </c>
      <c r="D42" s="20" t="n">
        <v>5</v>
      </c>
      <c r="E42" s="20" t="n">
        <v>4</v>
      </c>
      <c r="F42" s="22" t="n">
        <v>20</v>
      </c>
      <c r="G42" s="21" t="n">
        <v>0.85</v>
      </c>
      <c r="H42" s="14" t="n"/>
      <c r="I42" s="14">
        <f>H42+3</f>
        <v/>
      </c>
      <c r="J42" s="14">
        <f>(H42 + (7 - WEEKDAY(H42,1))) + 1</f>
        <v/>
      </c>
      <c r="K42" s="15">
        <f>F42*G42</f>
        <v/>
      </c>
      <c r="L42" s="13" t="inlineStr">
        <is>
          <t>High-Performance Outreach (Week 4)</t>
        </is>
      </c>
      <c r="M42" s="13" t="inlineStr">
        <is>
          <t>Send a message to praise students who performed well on the weekly project.</t>
        </is>
      </c>
    </row>
    <row r="43">
      <c r="A43" s="12" t="inlineStr">
        <is>
          <t>BUS105</t>
        </is>
      </c>
      <c r="B43" s="12" t="inlineStr">
        <is>
          <t>High Performance</t>
        </is>
      </c>
      <c r="C43" s="13" t="inlineStr">
        <is>
          <t>W05 Project</t>
        </is>
      </c>
      <c r="D43" s="20" t="n">
        <v>6</v>
      </c>
      <c r="E43" s="20" t="n">
        <v>4</v>
      </c>
      <c r="F43" s="22" t="n">
        <v>20</v>
      </c>
      <c r="G43" s="21" t="n">
        <v>0.85</v>
      </c>
      <c r="H43" s="14" t="n"/>
      <c r="I43" s="14">
        <f>H43+3</f>
        <v/>
      </c>
      <c r="J43" s="14">
        <f>(H43 + (7 - WEEKDAY(H43,1))) + 1</f>
        <v/>
      </c>
      <c r="K43" s="15">
        <f>F43*G43</f>
        <v/>
      </c>
      <c r="L43" s="13" t="inlineStr">
        <is>
          <t>High-Performance Outreach (Week 5)</t>
        </is>
      </c>
      <c r="M43" s="13" t="inlineStr">
        <is>
          <t>Send a message to praise students who performed well on the weekly project.</t>
        </is>
      </c>
    </row>
    <row r="44">
      <c r="A44" s="12" t="inlineStr">
        <is>
          <t>BUS105</t>
        </is>
      </c>
      <c r="B44" s="12" t="inlineStr">
        <is>
          <t>High Performance</t>
        </is>
      </c>
      <c r="C44" s="13" t="inlineStr">
        <is>
          <t>W06 Project</t>
        </is>
      </c>
      <c r="D44" s="20" t="n">
        <v>7</v>
      </c>
      <c r="E44" s="20" t="n">
        <v>4</v>
      </c>
      <c r="F44" s="22" t="n">
        <v>20</v>
      </c>
      <c r="G44" s="21" t="n">
        <v>0.85</v>
      </c>
      <c r="H44" s="14" t="n"/>
      <c r="I44" s="14">
        <f>H44+3</f>
        <v/>
      </c>
      <c r="J44" s="14">
        <f>(H44 + (7 - WEEKDAY(H44,1))) + 1</f>
        <v/>
      </c>
      <c r="K44" s="15">
        <f>F44*G44</f>
        <v/>
      </c>
      <c r="L44" s="13" t="inlineStr">
        <is>
          <t>High-Performance Outreach (Week 6)</t>
        </is>
      </c>
      <c r="M44" s="13" t="inlineStr">
        <is>
          <t>Send a message to praise students who performed well on the weekly project.</t>
        </is>
      </c>
    </row>
    <row r="45">
      <c r="A45" s="12" t="inlineStr">
        <is>
          <t>BUS105</t>
        </is>
      </c>
      <c r="B45" s="12" t="inlineStr">
        <is>
          <t>Grader-Issued 0</t>
        </is>
      </c>
      <c r="C45" s="13" t="inlineStr">
        <is>
          <t>W01 Project</t>
        </is>
      </c>
      <c r="D45" s="20" t="n">
        <v>2</v>
      </c>
      <c r="E45" s="20" t="n">
        <v>4</v>
      </c>
      <c r="G45" s="21" t="n"/>
      <c r="H45" s="14" t="n"/>
      <c r="I45" s="14">
        <f>H45+3</f>
        <v/>
      </c>
      <c r="J45" s="14">
        <f>(H45 + (7 - WEEKDAY(H45,1))) + 1</f>
        <v/>
      </c>
      <c r="K45" s="15">
        <f>F45*G45</f>
        <v/>
      </c>
      <c r="L45" s="13" t="inlineStr">
        <is>
          <t>Grader-Issued "0" (W01 Project)</t>
        </is>
      </c>
      <c r="M45" s="13" t="inlineStr">
        <is>
          <t>Send a message to encourage students to submit the correct document or download the correct template and resubmit the assignment.</t>
        </is>
      </c>
    </row>
    <row r="46">
      <c r="A46" s="12" t="inlineStr">
        <is>
          <t>BUS105</t>
        </is>
      </c>
      <c r="B46" s="12" t="inlineStr">
        <is>
          <t>Grader-Issued 0</t>
        </is>
      </c>
      <c r="C46" s="13" t="inlineStr">
        <is>
          <t>W02 Project</t>
        </is>
      </c>
      <c r="D46" s="20" t="n">
        <v>3</v>
      </c>
      <c r="E46" s="20" t="n">
        <v>4</v>
      </c>
      <c r="G46" s="21" t="n"/>
      <c r="H46" s="14" t="n"/>
      <c r="I46" s="14">
        <f>H46+3</f>
        <v/>
      </c>
      <c r="J46" s="14">
        <f>(H46 + (7 - WEEKDAY(H46,1))) + 1</f>
        <v/>
      </c>
      <c r="K46" s="15">
        <f>F46*G46</f>
        <v/>
      </c>
      <c r="L46" s="13" t="inlineStr">
        <is>
          <t>Grader-Issued "0" (W02 Project)</t>
        </is>
      </c>
      <c r="M46" s="13" t="inlineStr">
        <is>
          <t>Send a message to encourage students to submit the correct document or download the correct template and resubmit the assignment.</t>
        </is>
      </c>
    </row>
    <row r="47">
      <c r="A47" s="12" t="inlineStr">
        <is>
          <t>BUS105</t>
        </is>
      </c>
      <c r="B47" s="12" t="inlineStr">
        <is>
          <t>Grader-Issued 0</t>
        </is>
      </c>
      <c r="C47" s="13" t="inlineStr">
        <is>
          <t>W03 Project</t>
        </is>
      </c>
      <c r="D47" s="20" t="n">
        <v>4</v>
      </c>
      <c r="E47" s="20" t="n">
        <v>4</v>
      </c>
      <c r="G47" s="21" t="n"/>
      <c r="H47" s="14" t="n"/>
      <c r="I47" s="14">
        <f>H47+3</f>
        <v/>
      </c>
      <c r="J47" s="14">
        <f>(H47 + (7 - WEEKDAY(H47,1))) + 1</f>
        <v/>
      </c>
      <c r="K47" s="15">
        <f>F47*G47</f>
        <v/>
      </c>
      <c r="L47" s="13" t="inlineStr">
        <is>
          <t>Grader-Issued "0" (W03 Project)</t>
        </is>
      </c>
      <c r="M47" s="13" t="inlineStr">
        <is>
          <t>Send a message to encourage students to submit the correct document or download the correct template and resubmit the assignment.</t>
        </is>
      </c>
    </row>
    <row r="48">
      <c r="A48" s="12" t="inlineStr">
        <is>
          <t>BUS105</t>
        </is>
      </c>
      <c r="B48" s="12" t="inlineStr">
        <is>
          <t>Grader-Issued 0</t>
        </is>
      </c>
      <c r="C48" s="13" t="inlineStr">
        <is>
          <t>W04 Project</t>
        </is>
      </c>
      <c r="D48" s="20" t="n">
        <v>5</v>
      </c>
      <c r="E48" s="20" t="n">
        <v>4</v>
      </c>
      <c r="G48" s="21" t="n"/>
      <c r="H48" s="14" t="n"/>
      <c r="I48" s="14">
        <f>H48+3</f>
        <v/>
      </c>
      <c r="J48" s="14">
        <f>(H48 + (7 - WEEKDAY(H48,1))) + 1</f>
        <v/>
      </c>
      <c r="K48" s="15">
        <f>F48*G48</f>
        <v/>
      </c>
      <c r="L48" s="13" t="inlineStr">
        <is>
          <t>Grader-Issued "0" (W04 Project)</t>
        </is>
      </c>
      <c r="M48" s="13" t="inlineStr">
        <is>
          <t>Send a message to encourage students to submit the correct document or download the correct template and resubmit the assignment.</t>
        </is>
      </c>
    </row>
    <row r="49">
      <c r="A49" s="12" t="inlineStr">
        <is>
          <t>BUS105</t>
        </is>
      </c>
      <c r="B49" s="12" t="inlineStr">
        <is>
          <t>Grader-Issued 0</t>
        </is>
      </c>
      <c r="C49" s="13" t="inlineStr">
        <is>
          <t>W05 Project</t>
        </is>
      </c>
      <c r="D49" s="20" t="n">
        <v>6</v>
      </c>
      <c r="E49" s="20" t="n">
        <v>4</v>
      </c>
      <c r="G49" s="21" t="n"/>
      <c r="H49" s="14" t="n"/>
      <c r="I49" s="14">
        <f>H49+3</f>
        <v/>
      </c>
      <c r="J49" s="14">
        <f>(H49 + (7 - WEEKDAY(H49,1))) + 1</f>
        <v/>
      </c>
      <c r="K49" s="15">
        <f>F49*G49</f>
        <v/>
      </c>
      <c r="L49" s="13" t="inlineStr">
        <is>
          <t>Grader-Issued "0" (W05 Project)</t>
        </is>
      </c>
      <c r="M49" s="13" t="inlineStr">
        <is>
          <t>Send a message to encourage students to submit the correct document or download the correct template and resubmit the assignment.</t>
        </is>
      </c>
    </row>
    <row r="50">
      <c r="A50" s="12" t="inlineStr">
        <is>
          <t>BUS105</t>
        </is>
      </c>
      <c r="B50" s="12" t="inlineStr">
        <is>
          <t>Grader-Issued 0</t>
        </is>
      </c>
      <c r="C50" s="13" t="inlineStr">
        <is>
          <t>W06 Project</t>
        </is>
      </c>
      <c r="D50" s="20" t="n">
        <v>7</v>
      </c>
      <c r="E50" s="20" t="n">
        <v>4</v>
      </c>
      <c r="G50" s="21" t="n"/>
      <c r="H50" s="14" t="n"/>
      <c r="I50" s="14">
        <f>H50+3</f>
        <v/>
      </c>
      <c r="J50" s="14">
        <f>(H50 + (7 - WEEKDAY(H50,1))) + 1</f>
        <v/>
      </c>
      <c r="K50" s="15">
        <f>F50*G50</f>
        <v/>
      </c>
      <c r="L50" s="13" t="inlineStr">
        <is>
          <t>Grader-Issued "0" (W06 Project)</t>
        </is>
      </c>
      <c r="M50" s="13" t="inlineStr">
        <is>
          <t>Send a message to encourage students to submit the correct document or download the correct template and resubmit the assignment.</t>
        </is>
      </c>
    </row>
    <row r="51">
      <c r="A51" s="12" t="inlineStr">
        <is>
          <t>BUS105</t>
        </is>
      </c>
      <c r="B51" s="12" t="inlineStr">
        <is>
          <t>New Student Added</t>
        </is>
      </c>
      <c r="C51" s="12" t="inlineStr">
        <is>
          <t>New Student Added</t>
        </is>
      </c>
      <c r="D51" s="20" t="n">
        <v>0</v>
      </c>
      <c r="E51" s="20" t="n">
        <v>2</v>
      </c>
      <c r="G51" s="21" t="n"/>
      <c r="H51" s="14" t="n"/>
      <c r="I51" s="14">
        <f>H51+3</f>
        <v/>
      </c>
      <c r="J51" s="14">
        <f>(H51 + (7 - WEEKDAY(H51,1))) + 1</f>
        <v/>
      </c>
      <c r="K51" s="15">
        <f>F51*G51</f>
        <v/>
      </c>
      <c r="L51" s="17" t="inlineStr">
        <is>
          <t>New Student Added</t>
        </is>
      </c>
      <c r="M51" s="13" t="inlineStr">
        <is>
          <t>Send a message to new students to welcome them to class and help them submit any assignments they missed.</t>
        </is>
      </c>
    </row>
    <row r="52">
      <c r="A52" s="12" t="inlineStr">
        <is>
          <t>BUS105</t>
        </is>
      </c>
      <c r="B52" s="12" t="inlineStr">
        <is>
          <t>Scheduled - Not Logged In</t>
        </is>
      </c>
      <c r="C52" s="12" t="inlineStr">
        <is>
          <t>Not Logged Into Canvas</t>
        </is>
      </c>
      <c r="D52" s="20" t="n">
        <v>1</v>
      </c>
      <c r="E52" s="20" t="n">
        <v>4</v>
      </c>
      <c r="G52" s="21" t="n"/>
      <c r="H52" s="14" t="n"/>
      <c r="I52" s="14">
        <f>H52+3</f>
        <v/>
      </c>
      <c r="J52" s="14">
        <f>(H52 + (7 - WEEKDAY(H52,1))) + 1</f>
        <v/>
      </c>
      <c r="K52" s="15">
        <f>F52*G52</f>
        <v/>
      </c>
      <c r="L52" s="17" t="inlineStr">
        <is>
          <t>Not Logged into Canvas</t>
        </is>
      </c>
      <c r="M52" s="13" t="inlineStr">
        <is>
          <t>Send a message (outside of Canvas) to students who have not logged into Canvas encouraging them to log in before Wednesday of Week 2.</t>
        </is>
      </c>
    </row>
    <row r="53">
      <c r="A53" s="12" t="inlineStr">
        <is>
          <t>BUS105</t>
        </is>
      </c>
      <c r="B53" s="12" t="inlineStr">
        <is>
          <t xml:space="preserve">Scheduled - Classwide </t>
        </is>
      </c>
      <c r="C53" s="12" t="inlineStr">
        <is>
          <t>W07 Assignment</t>
        </is>
      </c>
      <c r="D53" s="20" t="n">
        <v>6</v>
      </c>
      <c r="E53" s="20" t="n">
        <v>4</v>
      </c>
      <c r="G53" s="21" t="n"/>
      <c r="H53" s="14" t="n"/>
      <c r="I53" s="14">
        <f>H53+3</f>
        <v/>
      </c>
      <c r="J53" s="14">
        <f>(H53 + (7 - WEEKDAY(H53,1))) + 1</f>
        <v/>
      </c>
      <c r="K53" s="15">
        <f>F53*G53</f>
        <v/>
      </c>
      <c r="L53" s="17" t="inlineStr">
        <is>
          <t>Week 7 Assignment Reminder</t>
        </is>
      </c>
      <c r="M53" s="13" t="inlineStr">
        <is>
          <t>Remind the class to submit their Week 7 assignments by the deadline.</t>
        </is>
      </c>
    </row>
    <row r="54">
      <c r="G54" s="21" t="n"/>
      <c r="H54" s="14" t="n"/>
      <c r="I54" s="14">
        <f>H54+3</f>
        <v/>
      </c>
      <c r="J54" s="14">
        <f>(H54 + (7 - WEEKDAY(H54,1))) + 1</f>
        <v/>
      </c>
      <c r="K54" s="15">
        <f>F54*G54</f>
        <v/>
      </c>
    </row>
    <row r="55">
      <c r="G55" s="21" t="n"/>
      <c r="H55" s="14" t="n"/>
      <c r="I55" s="14">
        <f>H55+3</f>
        <v/>
      </c>
      <c r="J55" s="14">
        <f>(H55 + (7 - WEEKDAY(H55,1))) + 1</f>
        <v/>
      </c>
      <c r="K55" s="15">
        <f>F55*G55</f>
        <v/>
      </c>
    </row>
    <row r="56">
      <c r="G56" s="21" t="n"/>
      <c r="H56" s="14" t="n"/>
      <c r="I56" s="14">
        <f>H56+3</f>
        <v/>
      </c>
      <c r="J56" s="14">
        <f>(H56 + (7 - WEEKDAY(H56,1))) + 1</f>
        <v/>
      </c>
      <c r="K56" s="15">
        <f>F56*G56</f>
        <v/>
      </c>
    </row>
    <row r="57">
      <c r="G57" s="21" t="n"/>
      <c r="H57" s="14" t="n"/>
      <c r="I57" s="14">
        <f>H57+3</f>
        <v/>
      </c>
      <c r="J57" s="14">
        <f>(H57 + (7 - WEEKDAY(H57,1))) + 1</f>
        <v/>
      </c>
      <c r="K57" s="15">
        <f>F57*G57</f>
        <v/>
      </c>
    </row>
    <row r="58">
      <c r="G58" s="21" t="n"/>
      <c r="H58" s="14" t="n"/>
      <c r="I58" s="14">
        <f>H58+3</f>
        <v/>
      </c>
      <c r="J58" s="14">
        <f>(H58 + (7 - WEEKDAY(H58,1))) + 1</f>
        <v/>
      </c>
      <c r="K58" s="15">
        <f>F58*G58</f>
        <v/>
      </c>
    </row>
    <row r="59">
      <c r="G59" s="21" t="n"/>
      <c r="H59" s="14" t="n"/>
      <c r="I59" s="14">
        <f>H59+3</f>
        <v/>
      </c>
      <c r="J59" s="14">
        <f>(H59 + (7 - WEEKDAY(H59,1))) + 1</f>
        <v/>
      </c>
      <c r="K59" s="15">
        <f>F59*G59</f>
        <v/>
      </c>
    </row>
    <row r="60">
      <c r="G60" s="21" t="n"/>
      <c r="H60" s="14" t="n"/>
      <c r="I60" s="14">
        <f>H60+3</f>
        <v/>
      </c>
      <c r="J60" s="14">
        <f>(H60 + (7 - WEEKDAY(H60,1))) + 1</f>
        <v/>
      </c>
      <c r="K60" s="15">
        <f>F60*G60</f>
        <v/>
      </c>
    </row>
    <row r="61">
      <c r="G61" s="21" t="n"/>
      <c r="H61" s="14" t="n"/>
      <c r="I61" s="14">
        <f>H61+3</f>
        <v/>
      </c>
      <c r="J61" s="14">
        <f>(H61 + (7 - WEEKDAY(H61,1))) + 1</f>
        <v/>
      </c>
      <c r="K61" s="15">
        <f>F61*G61</f>
        <v/>
      </c>
    </row>
    <row r="62">
      <c r="G62" s="21" t="n"/>
      <c r="H62" s="14" t="n"/>
      <c r="I62" s="14">
        <f>H62+3</f>
        <v/>
      </c>
      <c r="J62" s="14">
        <f>(H62 + (7 - WEEKDAY(H62,1))) + 1</f>
        <v/>
      </c>
      <c r="K62" s="15">
        <f>F62*G62</f>
        <v/>
      </c>
    </row>
    <row r="63">
      <c r="G63" s="21" t="n"/>
      <c r="H63" s="14" t="n"/>
      <c r="I63" s="14">
        <f>H63+3</f>
        <v/>
      </c>
      <c r="J63" s="14">
        <f>(H63 + (7 - WEEKDAY(H63,1))) + 1</f>
        <v/>
      </c>
      <c r="K63" s="15">
        <f>F63*G63</f>
        <v/>
      </c>
    </row>
    <row r="64">
      <c r="G64" s="21" t="n"/>
      <c r="H64" s="14" t="n"/>
      <c r="I64" s="14">
        <f>H64+3</f>
        <v/>
      </c>
      <c r="J64" s="14">
        <f>(H64 + (7 - WEEKDAY(H64,1))) + 1</f>
        <v/>
      </c>
      <c r="K64" s="15">
        <f>F64*G64</f>
        <v/>
      </c>
    </row>
    <row r="65">
      <c r="G65" s="21" t="n"/>
      <c r="H65" s="14" t="n"/>
      <c r="I65" s="14">
        <f>H65+3</f>
        <v/>
      </c>
      <c r="J65" s="14">
        <f>(H65 + (7 - WEEKDAY(H65,1))) + 1</f>
        <v/>
      </c>
      <c r="K65" s="15">
        <f>F65*G65</f>
        <v/>
      </c>
    </row>
    <row r="66">
      <c r="G66" s="21" t="n"/>
      <c r="H66" s="14" t="n"/>
      <c r="I66" s="14">
        <f>H66+3</f>
        <v/>
      </c>
      <c r="J66" s="14">
        <f>(H66 + (7 - WEEKDAY(H66,1))) + 1</f>
        <v/>
      </c>
      <c r="K66" s="15">
        <f>F66*G66</f>
        <v/>
      </c>
    </row>
    <row r="67">
      <c r="G67" s="21" t="n"/>
      <c r="H67" s="14" t="n"/>
      <c r="I67" s="14">
        <f>H67+3</f>
        <v/>
      </c>
      <c r="J67" s="14">
        <f>(H67 + (7 - WEEKDAY(H67,1))) + 1</f>
        <v/>
      </c>
      <c r="K67" s="15">
        <f>F67*G67</f>
        <v/>
      </c>
    </row>
    <row r="68">
      <c r="G68" s="21" t="n"/>
      <c r="H68" s="14" t="n"/>
      <c r="I68" s="14">
        <f>H68+3</f>
        <v/>
      </c>
      <c r="J68" s="14">
        <f>(H68 + (7 - WEEKDAY(H68,1))) + 1</f>
        <v/>
      </c>
      <c r="K68" s="15">
        <f>F68*G68</f>
        <v/>
      </c>
    </row>
    <row r="69">
      <c r="G69" s="21" t="n"/>
      <c r="H69" s="14" t="n"/>
      <c r="I69" s="14">
        <f>H69+3</f>
        <v/>
      </c>
      <c r="J69" s="14">
        <f>(H69 + (7 - WEEKDAY(H69,1))) + 1</f>
        <v/>
      </c>
      <c r="K69" s="15">
        <f>F69*G69</f>
        <v/>
      </c>
    </row>
    <row r="70">
      <c r="G70" s="21" t="n"/>
      <c r="H70" s="14" t="n"/>
      <c r="I70" s="14">
        <f>H70+3</f>
        <v/>
      </c>
      <c r="J70" s="14">
        <f>(H70 + (7 - WEEKDAY(H70,1))) + 1</f>
        <v/>
      </c>
      <c r="K70" s="15">
        <f>F70*G70</f>
        <v/>
      </c>
    </row>
    <row r="71">
      <c r="G71" s="21" t="n"/>
      <c r="H71" s="14" t="n"/>
      <c r="I71" s="14">
        <f>H71+3</f>
        <v/>
      </c>
      <c r="J71" s="14">
        <f>(H71 + (7 - WEEKDAY(H71,1))) + 1</f>
        <v/>
      </c>
      <c r="K71" s="15">
        <f>F71*G71</f>
        <v/>
      </c>
    </row>
  </sheetData>
  <sheetProtection selectLockedCells="0" selectUnlockedCells="0" algorithmName="SHA-512" sheet="1" objects="0" insertRows="0" insertHyperlinks="1" autoFilter="0" scenarios="0" formatColumns="1" deleteColumns="1" insertColumns="1" pivotTables="1" deleteRows="0" formatCells="0" saltValue="KzQDUVHnBsUTJtI3rNaKbg==" formatRows="0" sort="0" spinCount="100000" hashValue="Qx3qtHDGa1MXzPN04J1Te+nrllgnP1kHvxCdCoD/wSAkW1h4OdlqZP+6IAis00NYRv/GsJwCYNbDm127XzbWQg=="/>
  <pageMargins left="0.7" right="0.7" top="0.75" bottom="0.75" header="0.3" footer="0.3"/>
</worksheet>
</file>

<file path=xl/worksheets/sheet24.xml><?xml version="1.0" encoding="utf-8"?>
<worksheet xmlns="http://schemas.openxmlformats.org/spreadsheetml/2006/main">
  <sheetPr codeName="Sheet22">
    <outlinePr summaryBelow="1" summaryRight="1"/>
    <pageSetUpPr/>
  </sheetPr>
  <dimension ref="A1:I67"/>
  <sheetViews>
    <sheetView workbookViewId="0">
      <selection activeCell="E9" sqref="E9"/>
    </sheetView>
  </sheetViews>
  <sheetFormatPr baseColWidth="8" defaultColWidth="8.85546875" defaultRowHeight="15"/>
  <cols>
    <col width="46.42578125" customWidth="1" style="1" min="1" max="1"/>
    <col width="36.42578125" bestFit="1" customWidth="1" style="1" min="2" max="3"/>
    <col width="12" bestFit="1" customWidth="1" style="1" min="4" max="4"/>
    <col width="36.42578125" bestFit="1" customWidth="1" style="1" min="5" max="5"/>
    <col width="19.85546875" customWidth="1" style="1" min="6" max="6"/>
    <col width="18" customWidth="1" style="1" min="7" max="7"/>
    <col width="8.85546875" customWidth="1" style="1" min="8" max="16384"/>
  </cols>
  <sheetData>
    <row r="1" ht="24" customHeight="1">
      <c r="A1" s="73" t="inlineStr">
        <is>
          <t>DO NOT EDIT</t>
        </is>
      </c>
      <c r="B1" s="74" t="n"/>
      <c r="C1" s="74" t="n"/>
      <c r="D1" s="43" t="n"/>
      <c r="E1" s="74" t="inlineStr">
        <is>
          <t>Action Type List</t>
        </is>
      </c>
      <c r="F1" s="74" t="inlineStr">
        <is>
          <t>Week of Outreach List</t>
        </is>
      </c>
      <c r="G1" s="74" t="inlineStr">
        <is>
          <t>Day of Outreach List</t>
        </is>
      </c>
      <c r="H1" s="43" t="n"/>
      <c r="I1" s="43" t="n"/>
    </row>
    <row r="2">
      <c r="A2" s="43" t="n"/>
      <c r="B2" s="74" t="n"/>
      <c r="C2" s="74" t="n"/>
      <c r="D2" s="43" t="n"/>
      <c r="E2" s="43" t="inlineStr">
        <is>
          <t>Aggregate - High Performance</t>
        </is>
      </c>
      <c r="F2" s="43" t="n">
        <v>0</v>
      </c>
      <c r="G2" s="43" t="n">
        <v>1</v>
      </c>
      <c r="H2" s="43" t="n"/>
      <c r="I2" s="43" t="n"/>
    </row>
    <row r="3">
      <c r="A3" s="43" t="inlineStr">
        <is>
          <t>Dates</t>
        </is>
      </c>
      <c r="B3" s="74" t="n"/>
      <c r="C3" s="74" t="n"/>
      <c r="D3" s="43" t="n"/>
      <c r="E3" s="43" t="inlineStr">
        <is>
          <t>Aggregate - Low Performance</t>
        </is>
      </c>
      <c r="F3" s="43" t="n">
        <v>1</v>
      </c>
      <c r="G3" s="43" t="n">
        <v>2</v>
      </c>
      <c r="H3" s="43" t="n"/>
      <c r="I3" s="43" t="n"/>
    </row>
    <row r="4" ht="15.95" customHeight="1">
      <c r="A4" s="43" t="n"/>
      <c r="B4" s="74" t="inlineStr">
        <is>
          <t>Enter Term Start Date</t>
        </is>
      </c>
      <c r="C4" s="75" t="n">
        <v>46202</v>
      </c>
      <c r="D4" s="43" t="n"/>
      <c r="E4" s="74" t="inlineStr">
        <is>
          <t>Grader-Issued 0</t>
        </is>
      </c>
      <c r="F4" s="43" t="n">
        <v>2</v>
      </c>
      <c r="G4" s="43" t="n">
        <v>3</v>
      </c>
      <c r="H4" s="43" t="n"/>
      <c r="I4" s="43" t="n"/>
    </row>
    <row r="5" ht="32.1" customHeight="1">
      <c r="A5" s="43" t="n"/>
      <c r="B5" s="74" t="inlineStr">
        <is>
          <t>Expiration Date</t>
        </is>
      </c>
      <c r="C5" s="74" t="inlineStr">
        <is>
          <t>Defaults to Sunday at 12:00am for the following week</t>
        </is>
      </c>
      <c r="D5" s="43" t="n"/>
      <c r="E5" s="74" t="inlineStr">
        <is>
          <t>High Performance</t>
        </is>
      </c>
      <c r="F5" s="43" t="n">
        <v>3</v>
      </c>
      <c r="G5" s="43" t="n">
        <v>4</v>
      </c>
      <c r="H5" s="43" t="n"/>
      <c r="I5" s="43" t="n"/>
    </row>
    <row r="6" ht="15.95" customHeight="1">
      <c r="A6" s="43" t="n"/>
      <c r="B6" s="74" t="n"/>
      <c r="C6" s="74" t="n"/>
      <c r="D6" s="43" t="n"/>
      <c r="E6" s="74" t="inlineStr">
        <is>
          <t>Low Performance</t>
        </is>
      </c>
      <c r="F6" s="43" t="n">
        <v>4</v>
      </c>
      <c r="G6" s="43" t="n">
        <v>5</v>
      </c>
      <c r="H6" s="43" t="n"/>
      <c r="I6" s="43" t="n"/>
    </row>
    <row r="7" ht="15.95" customHeight="1">
      <c r="A7" s="43" t="n"/>
      <c r="B7" s="74" t="n"/>
      <c r="C7" s="74" t="n"/>
      <c r="D7" s="43" t="n"/>
      <c r="E7" s="74" t="inlineStr">
        <is>
          <t>Missing Assignment</t>
        </is>
      </c>
      <c r="F7" s="43" t="n">
        <v>5</v>
      </c>
      <c r="G7" s="43" t="n">
        <v>6</v>
      </c>
      <c r="H7" s="43" t="n"/>
      <c r="I7" s="43" t="n"/>
    </row>
    <row r="8" ht="15.95" customHeight="1">
      <c r="A8" s="43" t="n"/>
      <c r="B8" s="74" t="n"/>
      <c r="C8" s="74" t="n"/>
      <c r="D8" s="43" t="n"/>
      <c r="E8" s="74" t="inlineStr">
        <is>
          <t>New Student Added</t>
        </is>
      </c>
      <c r="F8" s="43" t="n">
        <v>6</v>
      </c>
      <c r="G8" s="43" t="n">
        <v>7</v>
      </c>
      <c r="H8" s="43" t="n"/>
      <c r="I8" s="43" t="n"/>
    </row>
    <row r="9" ht="15.95" customHeight="1">
      <c r="A9" s="43" t="n"/>
      <c r="B9" s="74" t="n"/>
      <c r="C9" s="74" t="n"/>
      <c r="D9" s="43" t="n"/>
      <c r="E9" s="74" t="inlineStr">
        <is>
          <t>Quiz Question</t>
        </is>
      </c>
      <c r="F9" s="43" t="n">
        <v>7</v>
      </c>
      <c r="G9" s="43" t="n"/>
      <c r="H9" s="43" t="n"/>
      <c r="I9" s="43" t="n"/>
    </row>
    <row r="10" ht="15.95" customHeight="1">
      <c r="A10" s="43" t="n"/>
      <c r="B10" s="74" t="n"/>
      <c r="C10" s="74" t="n"/>
      <c r="D10" s="43" t="n"/>
      <c r="E10" s="74" t="inlineStr">
        <is>
          <t>Scheduled - Classwide</t>
        </is>
      </c>
      <c r="F10" s="43" t="n"/>
      <c r="G10" s="43" t="n"/>
      <c r="H10" s="43" t="n"/>
      <c r="I10" s="43" t="n"/>
    </row>
    <row r="11" ht="15.95" customHeight="1">
      <c r="A11" s="43" t="n"/>
      <c r="B11" s="74" t="n"/>
      <c r="C11" s="74" t="n"/>
      <c r="D11" s="43" t="n"/>
      <c r="E11" s="74" t="inlineStr">
        <is>
          <t>Scheduled - Low Current Grade</t>
        </is>
      </c>
      <c r="F11" s="43" t="n"/>
      <c r="G11" s="43" t="n"/>
      <c r="H11" s="43" t="n"/>
      <c r="I11" s="43" t="n"/>
    </row>
    <row r="12" ht="15.95" customHeight="1">
      <c r="A12" s="43" t="n"/>
      <c r="B12" s="74" t="n"/>
      <c r="C12" s="74" t="n"/>
      <c r="D12" s="43" t="n"/>
      <c r="E12" s="74" t="inlineStr">
        <is>
          <t>Scheduled - Not Logged In</t>
        </is>
      </c>
      <c r="F12" s="43" t="n"/>
      <c r="G12" s="43" t="n"/>
      <c r="H12" s="43" t="n"/>
      <c r="I12" s="43" t="n"/>
    </row>
    <row r="13" ht="15.95" customHeight="1">
      <c r="A13" s="43" t="n"/>
      <c r="B13" s="74" t="n"/>
      <c r="C13" s="74" t="n"/>
      <c r="D13" s="43" t="n"/>
      <c r="E13" s="74" t="inlineStr">
        <is>
          <t>Scheduled - Registration Reminder</t>
        </is>
      </c>
      <c r="F13" s="43" t="n"/>
      <c r="G13" s="43" t="n"/>
      <c r="H13" s="43" t="n"/>
      <c r="I13" s="43" t="n"/>
    </row>
    <row r="14">
      <c r="A14" s="43" t="n"/>
      <c r="B14" s="74" t="n"/>
      <c r="C14" s="74" t="n"/>
      <c r="D14" s="43" t="n"/>
      <c r="E14" s="74" t="n"/>
      <c r="F14" s="43" t="n"/>
      <c r="G14" s="43" t="n"/>
      <c r="H14" s="43" t="n"/>
      <c r="I14" s="43" t="n"/>
    </row>
    <row r="15">
      <c r="A15" s="43" t="n"/>
      <c r="B15" s="74" t="n"/>
      <c r="C15" s="74" t="n"/>
      <c r="D15" s="43" t="n"/>
      <c r="E15" s="74" t="n"/>
      <c r="F15" s="43" t="n"/>
      <c r="G15" s="43" t="n"/>
      <c r="H15" s="43" t="n"/>
      <c r="I15" s="43" t="n"/>
    </row>
    <row r="16">
      <c r="A16" s="43" t="n"/>
      <c r="B16" s="74" t="n"/>
      <c r="C16" s="74" t="n"/>
      <c r="D16" s="43" t="n"/>
      <c r="E16" s="74" t="n"/>
      <c r="F16" s="43" t="n"/>
      <c r="G16" s="43" t="n"/>
      <c r="H16" s="43" t="n"/>
      <c r="I16" s="43" t="n"/>
    </row>
    <row r="17">
      <c r="A17" s="43" t="n"/>
      <c r="B17" s="74" t="n"/>
      <c r="C17" s="74" t="n"/>
      <c r="D17" s="43" t="n"/>
      <c r="E17" s="74" t="n"/>
      <c r="F17" s="43" t="n"/>
      <c r="G17" s="43" t="n"/>
      <c r="H17" s="43" t="n"/>
      <c r="I17" s="43" t="n"/>
    </row>
    <row r="18">
      <c r="A18" s="43" t="n"/>
      <c r="B18" s="74" t="n"/>
      <c r="C18" s="74" t="n"/>
      <c r="D18" s="43" t="n"/>
      <c r="E18" s="74" t="n"/>
      <c r="F18" s="43" t="n"/>
      <c r="G18" s="43" t="n"/>
      <c r="H18" s="43" t="n"/>
      <c r="I18" s="43" t="n"/>
    </row>
    <row r="19">
      <c r="A19" s="43" t="n"/>
      <c r="B19" s="74" t="n"/>
      <c r="C19" s="74" t="n"/>
      <c r="D19" s="43" t="n"/>
      <c r="E19" s="74" t="n"/>
      <c r="F19" s="43" t="n"/>
      <c r="G19" s="43" t="n"/>
      <c r="H19" s="43" t="n"/>
      <c r="I19" s="43" t="n"/>
    </row>
    <row r="20">
      <c r="A20" s="43" t="n"/>
      <c r="B20" s="74" t="n"/>
      <c r="C20" s="74" t="n"/>
      <c r="D20" s="43" t="n"/>
      <c r="E20" s="74" t="n"/>
      <c r="F20" s="43" t="n"/>
      <c r="G20" s="43" t="n"/>
      <c r="H20" s="43" t="n"/>
      <c r="I20" s="43" t="n"/>
    </row>
    <row r="21">
      <c r="A21" s="43" t="n"/>
      <c r="B21" s="74" t="n"/>
      <c r="C21" s="74" t="n"/>
      <c r="D21" s="43" t="n"/>
      <c r="E21" s="74" t="n"/>
      <c r="F21" s="43" t="n"/>
      <c r="G21" s="43" t="n"/>
      <c r="H21" s="43" t="n"/>
      <c r="I21" s="43" t="n"/>
    </row>
    <row r="22">
      <c r="A22" s="43" t="n"/>
      <c r="B22" s="74" t="n"/>
      <c r="C22" s="74" t="n"/>
      <c r="D22" s="43" t="n"/>
      <c r="E22" s="74" t="n"/>
      <c r="F22" s="43" t="n"/>
      <c r="G22" s="43" t="n"/>
      <c r="H22" s="43" t="n"/>
      <c r="I22" s="43" t="n"/>
    </row>
    <row r="23">
      <c r="A23" s="43" t="n"/>
      <c r="B23" s="74" t="n"/>
      <c r="C23" s="76" t="n"/>
      <c r="D23" s="69" t="n"/>
      <c r="E23" s="74" t="n"/>
      <c r="F23" s="69" t="n"/>
      <c r="G23" s="69" t="n"/>
      <c r="H23" s="69" t="n"/>
      <c r="I23" s="69" t="n"/>
    </row>
    <row r="24">
      <c r="A24" s="43" t="n"/>
      <c r="B24" s="74" t="n"/>
      <c r="C24" s="77" t="n"/>
      <c r="D24" s="43" t="n"/>
      <c r="E24" s="74" t="n"/>
      <c r="F24" s="43" t="n"/>
      <c r="G24" s="43" t="n"/>
      <c r="H24" s="43" t="n"/>
      <c r="I24" s="43" t="n"/>
    </row>
    <row r="25">
      <c r="A25" s="43" t="n"/>
      <c r="B25" s="74" t="n"/>
      <c r="C25" s="77" t="n"/>
      <c r="D25" s="43" t="n"/>
      <c r="E25" s="77" t="n"/>
      <c r="F25" s="43" t="n"/>
      <c r="G25" s="43" t="n"/>
      <c r="H25" s="43" t="n"/>
      <c r="I25" s="43" t="n"/>
    </row>
    <row r="26">
      <c r="A26" s="43" t="n"/>
      <c r="B26" s="74" t="n"/>
      <c r="C26" s="74" t="n"/>
      <c r="D26" s="43" t="n"/>
      <c r="E26" s="74" t="n"/>
      <c r="F26" s="43" t="n"/>
      <c r="G26" s="43" t="n"/>
      <c r="H26" s="43" t="n"/>
      <c r="I26" s="43" t="n"/>
    </row>
    <row r="27">
      <c r="A27" s="43" t="n"/>
      <c r="B27" s="74" t="n"/>
      <c r="C27" s="74" t="n"/>
      <c r="D27" s="43" t="n"/>
      <c r="E27" s="74" t="n"/>
      <c r="F27" s="43" t="n"/>
      <c r="G27" s="43" t="n"/>
      <c r="H27" s="43" t="n"/>
      <c r="I27" s="43" t="n"/>
    </row>
    <row r="28">
      <c r="A28" s="43" t="n"/>
      <c r="B28" s="74" t="n"/>
      <c r="C28" s="74" t="n"/>
      <c r="D28" s="43" t="n"/>
      <c r="E28" s="74" t="n"/>
      <c r="F28" s="43" t="n"/>
      <c r="G28" s="43" t="n"/>
      <c r="H28" s="43" t="n"/>
      <c r="I28" s="43" t="n"/>
    </row>
    <row r="29">
      <c r="A29" s="43" t="n"/>
      <c r="B29" s="74" t="n"/>
      <c r="C29" s="74" t="n"/>
      <c r="D29" s="43" t="n"/>
      <c r="E29" s="74" t="n"/>
      <c r="F29" s="43" t="n"/>
      <c r="G29" s="43" t="n"/>
      <c r="H29" s="43" t="n"/>
      <c r="I29" s="43" t="n"/>
    </row>
    <row r="30">
      <c r="A30" s="43" t="n"/>
      <c r="B30" s="74" t="n"/>
      <c r="C30" s="74" t="n"/>
      <c r="D30" s="43" t="n"/>
      <c r="E30" s="74" t="n"/>
      <c r="F30" s="43" t="n"/>
      <c r="G30" s="43" t="n"/>
      <c r="H30" s="43" t="n"/>
      <c r="I30" s="43" t="n"/>
    </row>
    <row r="31">
      <c r="A31" s="43" t="n"/>
      <c r="B31" s="74" t="n"/>
      <c r="C31" s="74" t="n"/>
      <c r="D31" s="43" t="n"/>
      <c r="E31" s="74" t="n"/>
      <c r="F31" s="43" t="n"/>
      <c r="G31" s="43" t="n"/>
      <c r="H31" s="43" t="n"/>
      <c r="I31" s="43" t="n"/>
    </row>
    <row r="32">
      <c r="A32" s="43" t="n"/>
      <c r="B32" s="74" t="n"/>
      <c r="C32" s="74" t="n"/>
      <c r="D32" s="43" t="n"/>
      <c r="E32" s="74" t="n"/>
      <c r="F32" s="43" t="n"/>
      <c r="G32" s="43" t="n"/>
      <c r="H32" s="43" t="n"/>
      <c r="I32" s="43" t="n"/>
    </row>
    <row r="33">
      <c r="A33" s="43" t="n"/>
      <c r="B33" s="74" t="n"/>
      <c r="C33" s="74" t="n"/>
      <c r="D33" s="43" t="n"/>
      <c r="E33" s="74" t="n"/>
      <c r="F33" s="43" t="n"/>
      <c r="G33" s="43" t="n"/>
      <c r="H33" s="43" t="n"/>
      <c r="I33" s="43" t="n"/>
    </row>
    <row r="34">
      <c r="A34" s="43" t="n"/>
      <c r="B34" s="74" t="n"/>
      <c r="C34" s="74" t="n"/>
      <c r="D34" s="43" t="n"/>
      <c r="E34" s="74" t="n"/>
      <c r="F34" s="43" t="n"/>
      <c r="G34" s="43" t="n"/>
      <c r="H34" s="43" t="n"/>
      <c r="I34" s="43" t="n"/>
    </row>
    <row r="35">
      <c r="A35" s="43" t="n"/>
      <c r="B35" s="74" t="n"/>
      <c r="C35" s="74" t="n"/>
      <c r="D35" s="43" t="n"/>
      <c r="E35" s="74" t="n"/>
      <c r="F35" s="43" t="n"/>
      <c r="G35" s="43" t="n"/>
      <c r="H35" s="43" t="n"/>
      <c r="I35" s="43" t="n"/>
    </row>
    <row r="36">
      <c r="A36" s="43" t="n"/>
      <c r="B36" s="74" t="n"/>
      <c r="C36" s="74" t="n"/>
      <c r="D36" s="43" t="n"/>
      <c r="E36" s="74" t="n"/>
      <c r="F36" s="43" t="n"/>
      <c r="G36" s="43" t="n"/>
      <c r="H36" s="43" t="n"/>
      <c r="I36" s="43" t="n"/>
    </row>
    <row r="37">
      <c r="A37" s="43" t="n"/>
      <c r="B37" s="74" t="n"/>
      <c r="C37" s="74" t="n"/>
      <c r="D37" s="43" t="n"/>
      <c r="E37" s="74" t="n"/>
      <c r="F37" s="43" t="n"/>
      <c r="G37" s="43" t="n"/>
      <c r="H37" s="43" t="n"/>
      <c r="I37" s="43" t="n"/>
    </row>
    <row r="38">
      <c r="A38" s="43" t="n"/>
      <c r="B38" s="74" t="n"/>
      <c r="C38" s="74" t="n"/>
      <c r="D38" s="43" t="n"/>
      <c r="E38" s="74" t="n"/>
      <c r="F38" s="43" t="n"/>
      <c r="G38" s="43" t="n"/>
      <c r="H38" s="43" t="n"/>
      <c r="I38" s="43" t="n"/>
    </row>
    <row r="39">
      <c r="A39" s="43" t="n"/>
      <c r="B39" s="74" t="n"/>
      <c r="C39" s="74" t="n"/>
      <c r="D39" s="43" t="n"/>
      <c r="E39" s="74" t="n"/>
      <c r="F39" s="43" t="n"/>
      <c r="G39" s="43" t="n"/>
      <c r="H39" s="43" t="n"/>
      <c r="I39" s="43" t="n"/>
    </row>
    <row r="40">
      <c r="A40" s="43" t="n"/>
      <c r="B40" s="74" t="n"/>
      <c r="C40" s="74" t="n"/>
      <c r="D40" s="43" t="n"/>
      <c r="E40" s="74" t="n"/>
      <c r="F40" s="43" t="n"/>
      <c r="G40" s="43" t="n"/>
      <c r="H40" s="43" t="n"/>
      <c r="I40" s="43" t="n"/>
    </row>
    <row r="41">
      <c r="A41" s="43" t="n"/>
      <c r="B41" s="74" t="n"/>
      <c r="C41" s="74" t="n"/>
      <c r="D41" s="43" t="n"/>
      <c r="E41" s="74" t="n"/>
      <c r="F41" s="43" t="n"/>
      <c r="G41" s="43" t="n"/>
      <c r="H41" s="43" t="n"/>
      <c r="I41" s="43" t="n"/>
    </row>
    <row r="42">
      <c r="A42" s="43" t="n"/>
      <c r="B42" s="74" t="n"/>
      <c r="C42" s="78" t="n"/>
      <c r="D42" s="43" t="n"/>
      <c r="E42" s="74" t="n"/>
      <c r="F42" s="43" t="n"/>
      <c r="G42" s="43" t="n"/>
      <c r="H42" s="43" t="n"/>
      <c r="I42" s="43" t="n"/>
    </row>
    <row r="43">
      <c r="A43" s="43" t="n"/>
      <c r="B43" s="74" t="n"/>
      <c r="C43" s="78" t="n"/>
      <c r="D43" s="43" t="n"/>
      <c r="E43" s="74" t="n"/>
      <c r="F43" s="43" t="n"/>
      <c r="G43" s="43" t="n"/>
      <c r="H43" s="43" t="n"/>
      <c r="I43" s="43" t="n"/>
    </row>
    <row r="44">
      <c r="A44" s="43" t="n"/>
      <c r="B44" s="74" t="n"/>
      <c r="C44" s="78" t="n"/>
      <c r="D44" s="43" t="n"/>
      <c r="E44" s="74" t="n"/>
      <c r="F44" s="43" t="n"/>
      <c r="G44" s="43" t="n"/>
      <c r="H44" s="43" t="n"/>
      <c r="I44" s="43" t="n"/>
    </row>
    <row r="45">
      <c r="A45" s="43" t="n"/>
      <c r="B45" s="74" t="n"/>
      <c r="C45" s="78" t="n"/>
      <c r="D45" s="43" t="n"/>
      <c r="E45" s="74" t="n"/>
      <c r="F45" s="43" t="n"/>
      <c r="G45" s="43" t="n"/>
      <c r="H45" s="43" t="n"/>
      <c r="I45" s="43" t="n"/>
    </row>
    <row r="46">
      <c r="A46" s="43" t="n"/>
      <c r="B46" s="74" t="n"/>
      <c r="C46" s="74" t="n"/>
      <c r="D46" s="43" t="n"/>
      <c r="E46" s="74" t="n"/>
      <c r="F46" s="43" t="n"/>
      <c r="G46" s="43" t="n"/>
      <c r="H46" s="43" t="n"/>
      <c r="I46" s="43" t="n"/>
    </row>
    <row r="47">
      <c r="A47" s="43" t="n"/>
      <c r="B47" s="74" t="n"/>
      <c r="C47" s="78" t="n"/>
      <c r="D47" s="43" t="n"/>
      <c r="E47" s="74" t="n"/>
      <c r="F47" s="43" t="n"/>
      <c r="G47" s="43" t="n"/>
      <c r="H47" s="43" t="n"/>
      <c r="I47" s="43" t="n"/>
    </row>
    <row r="48">
      <c r="A48" s="43" t="n"/>
      <c r="B48" s="74" t="n"/>
      <c r="C48" s="78" t="n"/>
      <c r="D48" s="43" t="n"/>
      <c r="E48" s="74" t="n"/>
      <c r="F48" s="43" t="n"/>
      <c r="G48" s="43" t="n"/>
      <c r="H48" s="43" t="n"/>
      <c r="I48" s="43" t="n"/>
    </row>
    <row r="49">
      <c r="A49" s="43" t="n"/>
      <c r="B49" s="74" t="n"/>
      <c r="C49" s="78" t="n"/>
      <c r="D49" s="43" t="n"/>
      <c r="E49" s="74" t="n"/>
      <c r="F49" s="43" t="n"/>
      <c r="G49" s="43" t="n"/>
      <c r="H49" s="43" t="n"/>
      <c r="I49" s="43" t="n"/>
    </row>
    <row r="50">
      <c r="A50" s="43" t="n"/>
      <c r="B50" s="74" t="n"/>
      <c r="C50" s="78" t="n"/>
      <c r="D50" s="43" t="n"/>
      <c r="E50" s="74" t="n"/>
      <c r="F50" s="43" t="n"/>
      <c r="G50" s="43" t="n"/>
      <c r="H50" s="43" t="n"/>
      <c r="I50" s="43" t="n"/>
    </row>
    <row r="51">
      <c r="A51" s="43" t="n"/>
      <c r="B51" s="74" t="n"/>
      <c r="C51" s="74" t="n"/>
      <c r="D51" s="43" t="n"/>
      <c r="E51" s="74" t="n"/>
      <c r="F51" s="43" t="n"/>
      <c r="G51" s="43" t="n"/>
      <c r="H51" s="43" t="n"/>
      <c r="I51" s="43" t="n"/>
    </row>
    <row r="52">
      <c r="A52" s="43" t="n"/>
      <c r="B52" s="74" t="n"/>
      <c r="C52" s="78" t="n"/>
      <c r="D52" s="43" t="n"/>
      <c r="E52" s="74" t="n"/>
      <c r="F52" s="43" t="n"/>
      <c r="G52" s="43" t="n"/>
      <c r="H52" s="43" t="n"/>
      <c r="I52" s="43" t="n"/>
    </row>
    <row r="53">
      <c r="A53" s="43" t="n"/>
      <c r="B53" s="74" t="n"/>
      <c r="C53" s="78" t="n"/>
      <c r="D53" s="43" t="n"/>
      <c r="E53" s="74" t="n"/>
      <c r="F53" s="43" t="n"/>
      <c r="G53" s="43" t="n"/>
      <c r="H53" s="43" t="n"/>
      <c r="I53" s="43" t="n"/>
    </row>
    <row r="54">
      <c r="A54" s="43" t="n"/>
      <c r="B54" s="74" t="n"/>
      <c r="C54" s="78" t="n"/>
      <c r="D54" s="43" t="n"/>
      <c r="E54" s="74" t="n"/>
      <c r="F54" s="43" t="n"/>
      <c r="G54" s="43" t="n"/>
      <c r="H54" s="43" t="n"/>
      <c r="I54" s="43" t="n"/>
    </row>
    <row r="55">
      <c r="A55" s="43" t="n"/>
      <c r="B55" s="74" t="n"/>
      <c r="C55" s="74" t="n"/>
      <c r="D55" s="43" t="n"/>
      <c r="E55" s="74" t="n"/>
      <c r="F55" s="43" t="n"/>
      <c r="G55" s="43" t="n"/>
      <c r="H55" s="43" t="n"/>
      <c r="I55" s="43" t="n"/>
    </row>
    <row r="56">
      <c r="A56" s="43" t="n"/>
      <c r="B56" s="74" t="n"/>
      <c r="C56" s="78" t="n"/>
      <c r="D56" s="43" t="n"/>
      <c r="E56" s="74" t="n"/>
      <c r="F56" s="43" t="n"/>
      <c r="G56" s="43" t="n"/>
      <c r="H56" s="43" t="n"/>
      <c r="I56" s="43" t="n"/>
    </row>
    <row r="57">
      <c r="A57" s="43" t="n"/>
      <c r="B57" s="74" t="n"/>
      <c r="C57" s="78" t="n"/>
      <c r="D57" s="43" t="n"/>
      <c r="E57" s="74" t="n"/>
      <c r="F57" s="43" t="n"/>
      <c r="G57" s="43" t="n"/>
      <c r="H57" s="43" t="n"/>
      <c r="I57" s="43" t="n"/>
    </row>
    <row r="58">
      <c r="A58" s="43" t="n"/>
      <c r="B58" s="74" t="n"/>
      <c r="C58" s="78" t="n"/>
      <c r="D58" s="43" t="n"/>
      <c r="E58" s="74" t="n"/>
      <c r="F58" s="43" t="n"/>
      <c r="G58" s="43" t="n"/>
      <c r="H58" s="43" t="n"/>
      <c r="I58" s="43" t="n"/>
    </row>
    <row r="59">
      <c r="A59" s="43" t="n"/>
      <c r="B59" s="74" t="n"/>
      <c r="C59" s="78" t="n"/>
      <c r="D59" s="43" t="n"/>
      <c r="E59" s="74" t="n"/>
      <c r="F59" s="43" t="n"/>
      <c r="G59" s="43" t="n"/>
      <c r="H59" s="43" t="n"/>
      <c r="I59" s="43" t="n"/>
    </row>
    <row r="60">
      <c r="A60" s="43" t="n"/>
      <c r="B60" s="74" t="n"/>
      <c r="C60" s="78" t="n"/>
      <c r="D60" s="43" t="n"/>
      <c r="E60" s="74" t="n"/>
      <c r="F60" s="43" t="n"/>
      <c r="G60" s="43" t="n"/>
      <c r="H60" s="43" t="n"/>
      <c r="I60" s="43" t="n"/>
    </row>
    <row r="61">
      <c r="A61" s="43" t="n"/>
      <c r="B61" s="74" t="n"/>
      <c r="C61" s="74" t="n"/>
      <c r="D61" s="43" t="n"/>
      <c r="E61" s="74" t="n"/>
      <c r="F61" s="43" t="n"/>
      <c r="G61" s="43" t="n"/>
      <c r="H61" s="43" t="n"/>
      <c r="I61" s="43" t="n"/>
    </row>
    <row r="62">
      <c r="A62" s="43" t="n"/>
      <c r="B62" s="74" t="n"/>
      <c r="C62" s="78" t="n"/>
      <c r="D62" s="43" t="n"/>
      <c r="E62" s="74" t="n"/>
      <c r="F62" s="43" t="n"/>
      <c r="G62" s="43" t="n"/>
      <c r="H62" s="43" t="n"/>
      <c r="I62" s="43" t="n"/>
    </row>
    <row r="63">
      <c r="A63" s="43" t="n"/>
      <c r="B63" s="74" t="n"/>
      <c r="C63" s="78" t="n"/>
      <c r="D63" s="43" t="n"/>
      <c r="E63" s="74" t="n"/>
      <c r="F63" s="43" t="n"/>
      <c r="G63" s="43" t="n"/>
      <c r="H63" s="43" t="n"/>
      <c r="I63" s="43" t="n"/>
    </row>
    <row r="64">
      <c r="A64" s="43" t="n"/>
      <c r="B64" s="74" t="n"/>
      <c r="C64" s="78" t="n"/>
      <c r="D64" s="43" t="n"/>
      <c r="E64" s="74" t="n"/>
      <c r="F64" s="43" t="n"/>
      <c r="G64" s="43" t="n"/>
      <c r="H64" s="43" t="n"/>
      <c r="I64" s="43" t="n"/>
    </row>
    <row r="65">
      <c r="A65" s="43" t="n"/>
      <c r="B65" s="74" t="n"/>
      <c r="C65" s="78" t="n"/>
      <c r="D65" s="43" t="n"/>
      <c r="E65" s="74" t="n"/>
      <c r="F65" s="43" t="n"/>
      <c r="G65" s="43" t="n"/>
      <c r="H65" s="43" t="n"/>
      <c r="I65" s="43" t="n"/>
    </row>
    <row r="66">
      <c r="E66" s="74" t="n"/>
    </row>
    <row r="67">
      <c r="E67" s="74" t="n"/>
    </row>
  </sheetData>
  <sheetProtection selectLockedCells="0" selectUnlockedCells="0" algorithmName="SHA-512" sheet="1" objects="0" insertRows="0" insertHyperlinks="1" autoFilter="0" scenarios="0" formatColumns="1" deleteColumns="1" insertColumns="1" pivotTables="1" deleteRows="0" formatCells="0" saltValue="W+EaLJCPCna+I6Kj/gd/PA==" formatRows="0" sort="0" spinCount="100000" hashValue="7OlGDvKZzfvcmkx7bF3dCCpQ5ONsJKB5MTYaMntQR6Z5IBXASFZaAa+H/ZxT235FeAbLNB1v2LcnBCTe61a9bw=="/>
  <pageMargins left="0.7" right="0.7" top="0.75" bottom="0.75" header="0.3" footer="0.3"/>
</worksheet>
</file>

<file path=xl/worksheets/sheet25.xml><?xml version="1.0" encoding="utf-8"?>
<worksheet xmlns="http://schemas.openxmlformats.org/spreadsheetml/2006/main">
  <sheetPr codeName="Sheet28">
    <outlinePr summaryBelow="1" summaryRight="1"/>
    <pageSetUpPr/>
  </sheetPr>
  <dimension ref="A1:O887"/>
  <sheetViews>
    <sheetView workbookViewId="0">
      <selection activeCell="C23" sqref="A1:O722"/>
    </sheetView>
  </sheetViews>
  <sheetFormatPr baseColWidth="8" defaultColWidth="11.42578125" defaultRowHeight="15"/>
  <cols>
    <col width="24.140625" bestFit="1" customWidth="1" min="2" max="2"/>
    <col width="93.42578125" bestFit="1" customWidth="1" min="3" max="3"/>
    <col width="14" bestFit="1" customWidth="1" min="4" max="4"/>
    <col width="12.85546875" bestFit="1" customWidth="1" min="5" max="5"/>
    <col width="12.42578125" bestFit="1" customWidth="1" min="6" max="6"/>
    <col width="15.85546875" bestFit="1" customWidth="1" min="7" max="7"/>
    <col hidden="1" width="9.28515625" customWidth="1" min="8" max="8"/>
    <col hidden="1" width="13" customWidth="1" min="9" max="9"/>
    <col hidden="1" width="7.85546875" customWidth="1" min="10" max="10"/>
    <col hidden="1" width="9.140625" customWidth="1" min="11" max="11"/>
    <col hidden="1" width="13" customWidth="1" min="12" max="12"/>
    <col width="76.7109375" bestFit="1" customWidth="1" min="13" max="13"/>
    <col width="255.85546875" bestFit="1" customWidth="1" min="14" max="14"/>
    <col width="222" bestFit="1" customWidth="1" min="15" max="15"/>
  </cols>
  <sheetData>
    <row r="1">
      <c r="A1" t="inlineStr">
        <is>
          <t>Course</t>
        </is>
      </c>
      <c r="B1" t="inlineStr">
        <is>
          <t>Action Type</t>
        </is>
      </c>
      <c r="C1" t="inlineStr">
        <is>
          <t>Assignment</t>
        </is>
      </c>
      <c r="D1" t="inlineStr">
        <is>
          <t>Week of Outreach</t>
        </is>
      </c>
      <c r="E1" t="inlineStr">
        <is>
          <t>Day of Outreach</t>
        </is>
      </c>
      <c r="F1" t="inlineStr">
        <is>
          <t>Points Possible</t>
        </is>
      </c>
      <c r="G1" t="inlineStr">
        <is>
          <t>% + or - for Outreach</t>
        </is>
      </c>
      <c r="H1" t="inlineStr">
        <is>
          <t>Configured</t>
        </is>
      </c>
      <c r="I1" t="inlineStr">
        <is>
          <t xml:space="preserve">Start Date </t>
        </is>
      </c>
      <c r="J1" t="inlineStr">
        <is>
          <t>Due Date</t>
        </is>
      </c>
      <c r="K1" t="inlineStr">
        <is>
          <t>Expire Date</t>
        </is>
      </c>
      <c r="L1" t="inlineStr">
        <is>
          <t>Score</t>
        </is>
      </c>
      <c r="M1" t="inlineStr">
        <is>
          <t>Reason for Outreach Title (Drop Down in IMS)</t>
        </is>
      </c>
      <c r="N1" t="inlineStr">
        <is>
          <t>Description/Prompt in IMS</t>
        </is>
      </c>
    </row>
    <row r="2">
      <c r="A2" t="inlineStr">
        <is>
          <t>CSE110</t>
        </is>
      </c>
      <c r="B2" t="inlineStr">
        <is>
          <t>New Student Added</t>
        </is>
      </c>
      <c r="C2" t="inlineStr">
        <is>
          <t>New Student Added</t>
        </is>
      </c>
      <c r="D2" t="n">
        <v>0</v>
      </c>
      <c r="E2" t="n">
        <v>2</v>
      </c>
      <c r="H2" t="inlineStr">
        <is>
          <t>y</t>
        </is>
      </c>
      <c r="I2" s="87" t="n">
        <v>46195</v>
      </c>
      <c r="J2" s="87" t="n">
        <v>46198</v>
      </c>
      <c r="K2" s="87" t="n">
        <v>46201</v>
      </c>
      <c r="M2" t="inlineStr">
        <is>
          <t>New Student Added</t>
        </is>
      </c>
      <c r="N2" t="inlineStr">
        <is>
          <t>Send a message to new students to welcome them to class and help them submit any assignments they missed.</t>
        </is>
      </c>
    </row>
    <row r="3">
      <c r="A3" t="inlineStr">
        <is>
          <t>CSE110</t>
        </is>
      </c>
      <c r="B3" t="inlineStr">
        <is>
          <t>Quiz Question</t>
        </is>
      </c>
      <c r="C3" t="inlineStr">
        <is>
          <t>W01 Quiz: Course Expectations: Question: Laptop 1 Answer: No</t>
        </is>
      </c>
      <c r="D3" t="n">
        <v>1</v>
      </c>
      <c r="E3" t="n">
        <v>2</v>
      </c>
      <c r="H3" t="inlineStr">
        <is>
          <t>y</t>
        </is>
      </c>
      <c r="I3" s="87" t="n">
        <v>46202</v>
      </c>
      <c r="J3" s="87" t="n">
        <v>46205</v>
      </c>
      <c r="K3" s="87" t="n">
        <v>46208</v>
      </c>
      <c r="L3" t="n">
        <v>0</v>
      </c>
      <c r="M3" t="inlineStr">
        <is>
          <t>No access to a computer</t>
        </is>
      </c>
      <c r="N3" t="inlineStr">
        <is>
          <t>Send a message to each student letting them know that they cannot be successful in this course without a computer. Suggest they drop the course and take it when they have access to a computer. (See Teaching notes for additional information)</t>
        </is>
      </c>
    </row>
    <row r="4">
      <c r="A4" t="inlineStr">
        <is>
          <t>CSE110</t>
        </is>
      </c>
      <c r="B4" t="inlineStr">
        <is>
          <t>Scheduled - Not Logged In</t>
        </is>
      </c>
      <c r="C4" t="inlineStr">
        <is>
          <t>Not Logged into Canvas</t>
        </is>
      </c>
      <c r="D4" t="n">
        <v>1</v>
      </c>
      <c r="E4" t="n">
        <v>4</v>
      </c>
      <c r="H4" t="inlineStr">
        <is>
          <t>y</t>
        </is>
      </c>
      <c r="I4" s="87" t="n">
        <v>46204</v>
      </c>
      <c r="J4" s="87" t="n">
        <v>46207</v>
      </c>
      <c r="K4" s="87" t="n">
        <v>46208</v>
      </c>
      <c r="M4" t="inlineStr">
        <is>
          <t>Not Logged Into Canvas</t>
        </is>
      </c>
      <c r="N4" t="inlineStr">
        <is>
          <t>Send a message (outside of Canvas) to students who have not logged into Canvas encouraging them to log in before Monday of Week 2.</t>
        </is>
      </c>
    </row>
    <row r="5">
      <c r="A5" t="inlineStr">
        <is>
          <t>CSE110</t>
        </is>
      </c>
      <c r="B5" t="inlineStr">
        <is>
          <t>Missing Assignment</t>
        </is>
      </c>
      <c r="C5" t="inlineStr">
        <is>
          <t>W01 Project: Clever Stories</t>
        </is>
      </c>
      <c r="D5" t="n">
        <v>2</v>
      </c>
      <c r="E5" t="n">
        <v>1</v>
      </c>
      <c r="H5" t="inlineStr">
        <is>
          <t>y</t>
        </is>
      </c>
      <c r="I5" s="87" t="n">
        <v>46208</v>
      </c>
      <c r="J5" s="87" t="n">
        <v>46211</v>
      </c>
      <c r="K5" s="87" t="n">
        <v>46215</v>
      </c>
      <c r="M5" t="inlineStr">
        <is>
          <t>Missing W01 Project: Clever Stories</t>
        </is>
      </c>
      <c r="N5" t="inlineStr">
        <is>
          <t>Missing  W01 Project: Clever Stories. Send a message to check in with this student and encourage timely submission of the missing assignment</t>
        </is>
      </c>
    </row>
    <row r="6">
      <c r="A6" t="inlineStr">
        <is>
          <t>CSE110</t>
        </is>
      </c>
      <c r="B6" t="inlineStr">
        <is>
          <t>Quiz Question</t>
        </is>
      </c>
      <c r="C6" t="inlineStr">
        <is>
          <t>W01 Reflection: NeedHelp Answer: Yes</t>
        </is>
      </c>
      <c r="D6" t="n">
        <v>2</v>
      </c>
      <c r="E6" t="n">
        <v>2</v>
      </c>
      <c r="H6" t="inlineStr">
        <is>
          <t>y</t>
        </is>
      </c>
      <c r="I6" s="87" t="n">
        <v>46209</v>
      </c>
      <c r="J6" s="87" t="n">
        <v>46212</v>
      </c>
      <c r="K6" s="87" t="n">
        <v>46215</v>
      </c>
      <c r="L6" t="n">
        <v>0</v>
      </c>
      <c r="M6" t="inlineStr">
        <is>
          <t>Response to W01 Reflection - Student responded they are overwhelmed.</t>
        </is>
      </c>
      <c r="N6" t="inlineStr">
        <is>
          <t>Student responded feeling overwhelmed to W01 Reflection. Reach out to student to see how you can help.</t>
        </is>
      </c>
    </row>
    <row r="7">
      <c r="A7" t="inlineStr">
        <is>
          <t>CSE110</t>
        </is>
      </c>
      <c r="B7" t="inlineStr">
        <is>
          <t>Grader-Issued 0</t>
        </is>
      </c>
      <c r="C7" t="inlineStr">
        <is>
          <t>W01 Project: Clever Stories</t>
        </is>
      </c>
      <c r="D7" t="n">
        <v>2</v>
      </c>
      <c r="E7" t="n">
        <v>5</v>
      </c>
      <c r="H7" t="inlineStr">
        <is>
          <t>y</t>
        </is>
      </c>
      <c r="I7" s="87" t="n">
        <v>46212</v>
      </c>
      <c r="J7" s="87" t="n">
        <v>46215</v>
      </c>
      <c r="K7" s="87" t="n">
        <v>46215</v>
      </c>
      <c r="M7" t="inlineStr">
        <is>
          <t>Grader Issued 0: W01 Project</t>
        </is>
      </c>
      <c r="N7" t="inlineStr">
        <is>
          <t>This student received a grader-issued “0” on the W01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8">
      <c r="A8" t="inlineStr">
        <is>
          <t>CSE110</t>
        </is>
      </c>
      <c r="B8" t="inlineStr">
        <is>
          <t>High Performance</t>
        </is>
      </c>
      <c r="C8" t="inlineStr">
        <is>
          <t>W01 Project: Clever Stories</t>
        </is>
      </c>
      <c r="D8" t="n">
        <v>2</v>
      </c>
      <c r="E8" t="n">
        <v>5</v>
      </c>
      <c r="F8" t="n">
        <v>100</v>
      </c>
      <c r="G8" t="n">
        <v>0.8</v>
      </c>
      <c r="H8" t="inlineStr">
        <is>
          <t>y</t>
        </is>
      </c>
      <c r="I8" s="87" t="n">
        <v>46212</v>
      </c>
      <c r="J8" s="87" t="n">
        <v>46215</v>
      </c>
      <c r="K8" s="87" t="n">
        <v>46215</v>
      </c>
      <c r="L8" t="n">
        <v>80</v>
      </c>
      <c r="M8" t="inlineStr">
        <is>
          <t>High-Performance: W01 Project</t>
        </is>
      </c>
      <c r="N8" t="inlineStr">
        <is>
          <t>This student scored 80% or higher on the W01 Project: Clever Stories.  Send a message of praise and encouragement for effort and good performance on this assignment.</t>
        </is>
      </c>
    </row>
    <row r="9">
      <c r="A9" t="inlineStr">
        <is>
          <t>CSE110</t>
        </is>
      </c>
      <c r="B9" t="inlineStr">
        <is>
          <t>Low Performance</t>
        </is>
      </c>
      <c r="C9" t="inlineStr">
        <is>
          <t>W01 Project: Clever Stories</t>
        </is>
      </c>
      <c r="D9" t="n">
        <v>2</v>
      </c>
      <c r="E9" t="n">
        <v>5</v>
      </c>
      <c r="F9" t="n">
        <v>100</v>
      </c>
      <c r="G9" t="n">
        <v>0.8</v>
      </c>
      <c r="H9" t="inlineStr">
        <is>
          <t>y</t>
        </is>
      </c>
      <c r="I9" s="87" t="n">
        <v>46212</v>
      </c>
      <c r="J9" s="87" t="n">
        <v>46215</v>
      </c>
      <c r="K9" s="87" t="n">
        <v>46215</v>
      </c>
      <c r="L9" t="n">
        <v>80</v>
      </c>
      <c r="M9" t="inlineStr">
        <is>
          <t>Outcomes Not Met: W01 Project</t>
        </is>
      </c>
      <c r="N9" t="inlineStr">
        <is>
          <t xml:space="preserve">This student scored less than 80% on the W01 Project: Clever Stories. Send a message to this student offering some form of help so he/she can be more successful on this assignment and resubmit. </t>
        </is>
      </c>
    </row>
    <row r="10">
      <c r="A10" t="inlineStr">
        <is>
          <t>CSE110</t>
        </is>
      </c>
      <c r="B10" t="inlineStr">
        <is>
          <t>Missing Assignment</t>
        </is>
      </c>
      <c r="C10" t="inlineStr">
        <is>
          <t>W02 Project: Meal Price Calculator</t>
        </is>
      </c>
      <c r="D10" t="n">
        <v>3</v>
      </c>
      <c r="E10" t="n">
        <v>1</v>
      </c>
      <c r="H10" t="inlineStr">
        <is>
          <t>y</t>
        </is>
      </c>
      <c r="I10" s="87" t="n">
        <v>46215</v>
      </c>
      <c r="J10" s="87" t="n">
        <v>46218</v>
      </c>
      <c r="K10" s="87" t="n">
        <v>46222</v>
      </c>
      <c r="M10" t="inlineStr">
        <is>
          <t>Missing W02 Project: Meal Price Calculator</t>
        </is>
      </c>
      <c r="N10" t="inlineStr">
        <is>
          <t>Missing  W02 Project: Meal Price Calculator. Send a message to check in with this student and encourage timely submission of the missing assignment</t>
        </is>
      </c>
    </row>
    <row r="11">
      <c r="A11" t="inlineStr">
        <is>
          <t>CSE110</t>
        </is>
      </c>
      <c r="B11" t="inlineStr">
        <is>
          <t>Quiz Question</t>
        </is>
      </c>
      <c r="C11" t="inlineStr">
        <is>
          <t>W02 Reflection: NeedHelp Answer: Yes</t>
        </is>
      </c>
      <c r="D11" t="n">
        <v>3</v>
      </c>
      <c r="E11" t="n">
        <v>2</v>
      </c>
      <c r="H11" t="inlineStr">
        <is>
          <t>y</t>
        </is>
      </c>
      <c r="I11" s="87" t="n">
        <v>46216</v>
      </c>
      <c r="J11" s="87" t="n">
        <v>46219</v>
      </c>
      <c r="K11" s="87" t="n">
        <v>46222</v>
      </c>
      <c r="L11" t="n">
        <v>0</v>
      </c>
      <c r="M11" t="inlineStr">
        <is>
          <t>Response to W02 Reflection - Student responded they are overwhelmed.</t>
        </is>
      </c>
      <c r="N11" t="inlineStr">
        <is>
          <t>Student responded feeling overwhelmed to W02 Reflection. Reach out to student to see how you can help.</t>
        </is>
      </c>
    </row>
    <row r="12">
      <c r="A12" t="inlineStr">
        <is>
          <t>CSE110</t>
        </is>
      </c>
      <c r="B12" t="inlineStr">
        <is>
          <t>Grader-Issued 0</t>
        </is>
      </c>
      <c r="C12" t="inlineStr">
        <is>
          <t>W02 Project: Meal Price Calculator</t>
        </is>
      </c>
      <c r="D12" t="n">
        <v>3</v>
      </c>
      <c r="E12" t="n">
        <v>5</v>
      </c>
      <c r="H12" t="inlineStr">
        <is>
          <t>y</t>
        </is>
      </c>
      <c r="I12" s="87" t="n">
        <v>46219</v>
      </c>
      <c r="J12" s="87" t="n">
        <v>46222</v>
      </c>
      <c r="K12" s="87" t="n">
        <v>46222</v>
      </c>
      <c r="M12" t="inlineStr">
        <is>
          <t>Grader Issued 0: W02 Project</t>
        </is>
      </c>
      <c r="N12" t="inlineStr">
        <is>
          <t>This student received a grader-issued “0” on the W02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13">
      <c r="A13" t="inlineStr">
        <is>
          <t>CSE110</t>
        </is>
      </c>
      <c r="B13" t="inlineStr">
        <is>
          <t>High Performance</t>
        </is>
      </c>
      <c r="C13" t="inlineStr">
        <is>
          <t>W02 Project: Meal Price Calculator</t>
        </is>
      </c>
      <c r="D13" t="n">
        <v>3</v>
      </c>
      <c r="E13" t="n">
        <v>5</v>
      </c>
      <c r="F13" t="n">
        <v>100</v>
      </c>
      <c r="G13" t="n">
        <v>0.8</v>
      </c>
      <c r="H13" t="inlineStr">
        <is>
          <t>y</t>
        </is>
      </c>
      <c r="I13" s="87" t="n">
        <v>46219</v>
      </c>
      <c r="J13" s="87" t="n">
        <v>46222</v>
      </c>
      <c r="K13" s="87" t="n">
        <v>46222</v>
      </c>
      <c r="L13" t="n">
        <v>80</v>
      </c>
      <c r="M13" t="inlineStr">
        <is>
          <t>High-Performance: W02 Project</t>
        </is>
      </c>
      <c r="N13" t="inlineStr">
        <is>
          <t>This student scored 80% or higher on the W02 Project: Meat Price Calculator.  Send a message of praise and encouragement for effort and good performance on this assignment.</t>
        </is>
      </c>
    </row>
    <row r="14">
      <c r="A14" t="inlineStr">
        <is>
          <t>CSE110</t>
        </is>
      </c>
      <c r="B14" t="inlineStr">
        <is>
          <t>Low Performance</t>
        </is>
      </c>
      <c r="C14" t="inlineStr">
        <is>
          <t>W02 Project: Meal Price Calculator</t>
        </is>
      </c>
      <c r="D14" t="n">
        <v>3</v>
      </c>
      <c r="E14" t="n">
        <v>5</v>
      </c>
      <c r="F14" t="n">
        <v>100</v>
      </c>
      <c r="G14" t="n">
        <v>0.8</v>
      </c>
      <c r="H14" t="inlineStr">
        <is>
          <t>y</t>
        </is>
      </c>
      <c r="I14" s="87" t="n">
        <v>46219</v>
      </c>
      <c r="J14" s="87" t="n">
        <v>46222</v>
      </c>
      <c r="K14" s="87" t="n">
        <v>46222</v>
      </c>
      <c r="L14" t="n">
        <v>80</v>
      </c>
      <c r="M14" t="inlineStr">
        <is>
          <t>Outcomes Not Met: W02 Project</t>
        </is>
      </c>
      <c r="N14" t="inlineStr">
        <is>
          <t xml:space="preserve">This student scored less than 80% on the W02 Project: Meal Price Calculator. Send a message to this student offering some form of help so he/she can be more successful on this assignment and resubmit. </t>
        </is>
      </c>
    </row>
    <row r="15">
      <c r="A15" t="inlineStr">
        <is>
          <t>CSE110</t>
        </is>
      </c>
      <c r="B15" t="inlineStr">
        <is>
          <t>Missing Assignment</t>
        </is>
      </c>
      <c r="C15" t="inlineStr">
        <is>
          <t>W03 Project: Adventure Game</t>
        </is>
      </c>
      <c r="D15" t="n">
        <v>4</v>
      </c>
      <c r="E15" t="n">
        <v>1</v>
      </c>
      <c r="H15" t="inlineStr">
        <is>
          <t>y</t>
        </is>
      </c>
      <c r="I15" s="87" t="n">
        <v>46222</v>
      </c>
      <c r="J15" s="87" t="n">
        <v>46225</v>
      </c>
      <c r="K15" s="87" t="n">
        <v>46229</v>
      </c>
      <c r="M15" t="inlineStr">
        <is>
          <t>Missing W03 Project: Adventure Game</t>
        </is>
      </c>
      <c r="N15" t="inlineStr">
        <is>
          <t>Missing  W03 Project: Adventure Game. Send a message to check in with this student and encourage timely submission of the missing assignment</t>
        </is>
      </c>
    </row>
    <row r="16">
      <c r="A16" t="inlineStr">
        <is>
          <t>CSE110</t>
        </is>
      </c>
      <c r="B16" t="inlineStr">
        <is>
          <t>Quiz Question</t>
        </is>
      </c>
      <c r="C16" t="inlineStr">
        <is>
          <t>W03 Reflection: NeedHelp Answer: Yes</t>
        </is>
      </c>
      <c r="D16" t="n">
        <v>4</v>
      </c>
      <c r="E16" t="n">
        <v>2</v>
      </c>
      <c r="H16" t="inlineStr">
        <is>
          <t>y</t>
        </is>
      </c>
      <c r="I16" s="87" t="n">
        <v>46223</v>
      </c>
      <c r="J16" s="87" t="n">
        <v>46226</v>
      </c>
      <c r="K16" s="87" t="n">
        <v>46229</v>
      </c>
      <c r="L16" t="n">
        <v>0</v>
      </c>
      <c r="M16" t="inlineStr">
        <is>
          <t>Response to W03 Reflection - Student responded they are overwhelmed.</t>
        </is>
      </c>
      <c r="N16" t="inlineStr">
        <is>
          <t>Student responded feeling overwhelmed to W03 Reflection. Reach out to student to see how you can help.</t>
        </is>
      </c>
    </row>
    <row r="17">
      <c r="A17" t="inlineStr">
        <is>
          <t>CSE110</t>
        </is>
      </c>
      <c r="B17" t="inlineStr">
        <is>
          <t>Scheduled - Low Current Grade</t>
        </is>
      </c>
      <c r="C17" t="inlineStr">
        <is>
          <t>Withdraw Deadline Reminder</t>
        </is>
      </c>
      <c r="D17" t="n">
        <v>4</v>
      </c>
      <c r="E17" t="n">
        <v>4</v>
      </c>
      <c r="G17" t="n">
        <v>0.4</v>
      </c>
      <c r="H17" t="inlineStr">
        <is>
          <t>y</t>
        </is>
      </c>
      <c r="I17" s="87" t="n">
        <v>46225</v>
      </c>
      <c r="J17" s="87" t="n">
        <v>46228</v>
      </c>
      <c r="K17" s="87" t="n">
        <v>46229</v>
      </c>
      <c r="L17" t="n">
        <v>0</v>
      </c>
      <c r="M17" t="inlineStr">
        <is>
          <t>Failing student. Withdraw Reminder</t>
        </is>
      </c>
      <c r="N17" t="inlineStr">
        <is>
          <t>Email students who are currently failing with little chance to catch up, reminding them of the withdraw deadline.</t>
        </is>
      </c>
    </row>
    <row r="18">
      <c r="A18" t="inlineStr">
        <is>
          <t>CSE110</t>
        </is>
      </c>
      <c r="B18" t="inlineStr">
        <is>
          <t>Grader-Issued 0</t>
        </is>
      </c>
      <c r="C18" t="inlineStr">
        <is>
          <t>W03 Project: Adventure Game</t>
        </is>
      </c>
      <c r="D18" t="n">
        <v>4</v>
      </c>
      <c r="E18" t="n">
        <v>5</v>
      </c>
      <c r="H18" t="inlineStr">
        <is>
          <t>y</t>
        </is>
      </c>
      <c r="I18" s="87" t="n">
        <v>46226</v>
      </c>
      <c r="J18" s="87" t="n">
        <v>46229</v>
      </c>
      <c r="K18" s="87" t="n">
        <v>46229</v>
      </c>
      <c r="M18" t="inlineStr">
        <is>
          <t>Grader Issued 0: W03 Project</t>
        </is>
      </c>
      <c r="N18" t="inlineStr">
        <is>
          <t>This student received a grader-issued “0” on the W03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19">
      <c r="A19" t="inlineStr">
        <is>
          <t>CSE110</t>
        </is>
      </c>
      <c r="B19" t="inlineStr">
        <is>
          <t>High Performance</t>
        </is>
      </c>
      <c r="C19" t="inlineStr">
        <is>
          <t>W03 Project: Adventure Game</t>
        </is>
      </c>
      <c r="D19" t="n">
        <v>4</v>
      </c>
      <c r="E19" t="n">
        <v>5</v>
      </c>
      <c r="F19" t="n">
        <v>100</v>
      </c>
      <c r="G19" t="n">
        <v>0.8</v>
      </c>
      <c r="H19" t="inlineStr">
        <is>
          <t>y</t>
        </is>
      </c>
      <c r="I19" s="87" t="n">
        <v>46226</v>
      </c>
      <c r="J19" s="87" t="n">
        <v>46229</v>
      </c>
      <c r="K19" s="87" t="n">
        <v>46229</v>
      </c>
      <c r="L19" t="n">
        <v>80</v>
      </c>
      <c r="M19" t="inlineStr">
        <is>
          <t>High-Performance: W03 Project</t>
        </is>
      </c>
      <c r="N19" t="inlineStr">
        <is>
          <t>This student scored 80% or higher on the W03 Project: Adventure Game.  Send a message of praise and encouragement for effort and good performance on this assignment.</t>
        </is>
      </c>
    </row>
    <row r="20">
      <c r="A20" t="inlineStr">
        <is>
          <t>CSE110</t>
        </is>
      </c>
      <c r="B20" t="inlineStr">
        <is>
          <t>Low Performance</t>
        </is>
      </c>
      <c r="C20" t="inlineStr">
        <is>
          <t>W03 Project: Adventure Game</t>
        </is>
      </c>
      <c r="D20" t="n">
        <v>4</v>
      </c>
      <c r="E20" t="n">
        <v>5</v>
      </c>
      <c r="F20" t="n">
        <v>100</v>
      </c>
      <c r="G20" t="n">
        <v>0.8</v>
      </c>
      <c r="H20" t="inlineStr">
        <is>
          <t>y</t>
        </is>
      </c>
      <c r="I20" s="87" t="n">
        <v>46226</v>
      </c>
      <c r="J20" s="87" t="n">
        <v>46229</v>
      </c>
      <c r="K20" s="87" t="n">
        <v>46229</v>
      </c>
      <c r="L20" t="n">
        <v>80</v>
      </c>
      <c r="M20" t="inlineStr">
        <is>
          <t>Outcomes Not Met: W03 Project</t>
        </is>
      </c>
      <c r="N20" t="inlineStr">
        <is>
          <t xml:space="preserve">This student scored less than 80% on the W03 Project: Adventure Game. Send a message to this student offering some form of help so he/she can be more successful on this assignment and resubmit. </t>
        </is>
      </c>
    </row>
    <row r="21">
      <c r="A21" t="inlineStr">
        <is>
          <t>CSE110</t>
        </is>
      </c>
      <c r="B21" t="inlineStr">
        <is>
          <t>Missing Assignment</t>
        </is>
      </c>
      <c r="C21" t="inlineStr">
        <is>
          <t>W04 Project: Word Puzzle</t>
        </is>
      </c>
      <c r="D21" t="n">
        <v>5</v>
      </c>
      <c r="E21" t="n">
        <v>1</v>
      </c>
      <c r="H21" t="inlineStr">
        <is>
          <t>y</t>
        </is>
      </c>
      <c r="I21" s="87" t="n">
        <v>46229</v>
      </c>
      <c r="J21" s="87" t="n">
        <v>46232</v>
      </c>
      <c r="K21" s="87" t="n">
        <v>46236</v>
      </c>
      <c r="M21" t="inlineStr">
        <is>
          <t>Missing W04 Project: Word Puzzle</t>
        </is>
      </c>
      <c r="N21" t="inlineStr">
        <is>
          <t>Missing  W04 Project: Word Puzzle. Send a message to check in with this student and encourage timely submission of the missing assignment</t>
        </is>
      </c>
    </row>
    <row r="22">
      <c r="A22" t="inlineStr">
        <is>
          <t>CSE110</t>
        </is>
      </c>
      <c r="B22" t="inlineStr">
        <is>
          <t>Quiz Question</t>
        </is>
      </c>
      <c r="C22" t="inlineStr">
        <is>
          <t>W04 Reflection: NeedHelp Answer: Yes</t>
        </is>
      </c>
      <c r="D22" t="n">
        <v>5</v>
      </c>
      <c r="E22" t="n">
        <v>2</v>
      </c>
      <c r="H22" t="inlineStr">
        <is>
          <t>y</t>
        </is>
      </c>
      <c r="I22" s="87" t="n">
        <v>46230</v>
      </c>
      <c r="J22" s="87" t="n">
        <v>46233</v>
      </c>
      <c r="K22" s="87" t="n">
        <v>46236</v>
      </c>
      <c r="L22" t="n">
        <v>0</v>
      </c>
      <c r="M22" t="inlineStr">
        <is>
          <t>Response to W04 Reflection - Student responded they are overwhelmed.</t>
        </is>
      </c>
      <c r="N22" t="inlineStr">
        <is>
          <t>Student responded feeling overwhelmed to W04 Reflection. Reach out to student to see how you can help.</t>
        </is>
      </c>
    </row>
    <row r="23">
      <c r="A23" t="inlineStr">
        <is>
          <t>CSE110</t>
        </is>
      </c>
      <c r="B23" t="inlineStr">
        <is>
          <t>Grader-Issued 0</t>
        </is>
      </c>
      <c r="C23" t="inlineStr">
        <is>
          <t>W04 Project: Word Puzzle</t>
        </is>
      </c>
      <c r="D23" t="n">
        <v>5</v>
      </c>
      <c r="E23" t="n">
        <v>5</v>
      </c>
      <c r="H23" t="inlineStr">
        <is>
          <t>y</t>
        </is>
      </c>
      <c r="I23" s="87" t="n">
        <v>46233</v>
      </c>
      <c r="J23" s="87" t="n">
        <v>46236</v>
      </c>
      <c r="K23" s="87" t="n">
        <v>46236</v>
      </c>
      <c r="M23" t="inlineStr">
        <is>
          <t>Grader Issued 0: W04 Project</t>
        </is>
      </c>
      <c r="N23" t="inlineStr">
        <is>
          <t>This student received a grader-issued “0” on the W04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24">
      <c r="A24" t="inlineStr">
        <is>
          <t>CSE110</t>
        </is>
      </c>
      <c r="B24" t="inlineStr">
        <is>
          <t>High Performance</t>
        </is>
      </c>
      <c r="C24" t="inlineStr">
        <is>
          <t>W04 Project: Word Puzzle</t>
        </is>
      </c>
      <c r="D24" t="n">
        <v>5</v>
      </c>
      <c r="E24" t="n">
        <v>5</v>
      </c>
      <c r="F24" t="n">
        <v>100</v>
      </c>
      <c r="G24" t="n">
        <v>0.8</v>
      </c>
      <c r="H24" t="inlineStr">
        <is>
          <t>y</t>
        </is>
      </c>
      <c r="I24" s="87" t="n">
        <v>46233</v>
      </c>
      <c r="J24" s="87" t="n">
        <v>46236</v>
      </c>
      <c r="K24" s="87" t="n">
        <v>46236</v>
      </c>
      <c r="L24" t="n">
        <v>80</v>
      </c>
      <c r="M24" t="inlineStr">
        <is>
          <t>High-Performance: W04 Project</t>
        </is>
      </c>
      <c r="N24" t="inlineStr">
        <is>
          <t>This student scored 80% or higher on the W04 Project: Word Puzzle.  Send a message of praise and encouragement for effort and good performance on this assignment.</t>
        </is>
      </c>
    </row>
    <row r="25">
      <c r="A25" t="inlineStr">
        <is>
          <t>CSE110</t>
        </is>
      </c>
      <c r="B25" t="inlineStr">
        <is>
          <t>Low Performance</t>
        </is>
      </c>
      <c r="C25" t="inlineStr">
        <is>
          <t>W04 Project: Word Puzzle</t>
        </is>
      </c>
      <c r="D25" t="n">
        <v>5</v>
      </c>
      <c r="E25" t="n">
        <v>5</v>
      </c>
      <c r="F25" t="n">
        <v>100</v>
      </c>
      <c r="G25" t="n">
        <v>0.8</v>
      </c>
      <c r="H25" t="inlineStr">
        <is>
          <t>y</t>
        </is>
      </c>
      <c r="I25" s="87" t="n">
        <v>46233</v>
      </c>
      <c r="J25" s="87" t="n">
        <v>46236</v>
      </c>
      <c r="K25" s="87" t="n">
        <v>46236</v>
      </c>
      <c r="L25" t="n">
        <v>80</v>
      </c>
      <c r="M25" t="inlineStr">
        <is>
          <t>Outcomes Not Met: W04 Project</t>
        </is>
      </c>
      <c r="N25" t="inlineStr">
        <is>
          <t xml:space="preserve">This student scored less than 80% on the W04 Project: Word Puzzle. Send a message to this student offering some form of help so he/she can be more successful on this assignment and resubmit. </t>
        </is>
      </c>
    </row>
    <row r="26">
      <c r="A26" t="inlineStr">
        <is>
          <t>CSE110</t>
        </is>
      </c>
      <c r="B26" t="inlineStr">
        <is>
          <t>Missing Assignment</t>
        </is>
      </c>
      <c r="C26" t="inlineStr">
        <is>
          <t>W05 Project: Shopping Cart</t>
        </is>
      </c>
      <c r="D26" t="n">
        <v>6</v>
      </c>
      <c r="E26" t="n">
        <v>1</v>
      </c>
      <c r="H26" t="inlineStr">
        <is>
          <t>y</t>
        </is>
      </c>
      <c r="I26" s="87" t="n">
        <v>46236</v>
      </c>
      <c r="J26" s="87" t="n">
        <v>46239</v>
      </c>
      <c r="K26" s="87" t="n">
        <v>46243</v>
      </c>
      <c r="M26" t="inlineStr">
        <is>
          <t>Missing W05 Project: Shopping Cart</t>
        </is>
      </c>
      <c r="N26" t="inlineStr">
        <is>
          <t>Missing  W05 Project: Shopping Cart. Send a message to check in with this student and encourage timely submission of the missing assignment</t>
        </is>
      </c>
    </row>
    <row r="27">
      <c r="A27" t="inlineStr">
        <is>
          <t>CSE110</t>
        </is>
      </c>
      <c r="B27" t="inlineStr">
        <is>
          <t>Quiz Question</t>
        </is>
      </c>
      <c r="C27" t="inlineStr">
        <is>
          <t>W05 Reflection: NeedHelp Answer: Yes</t>
        </is>
      </c>
      <c r="D27" t="n">
        <v>6</v>
      </c>
      <c r="E27" t="n">
        <v>2</v>
      </c>
      <c r="H27" t="inlineStr">
        <is>
          <t>y</t>
        </is>
      </c>
      <c r="I27" s="87" t="n">
        <v>46237</v>
      </c>
      <c r="J27" s="87" t="n">
        <v>46240</v>
      </c>
      <c r="K27" s="87" t="n">
        <v>46243</v>
      </c>
      <c r="L27" t="n">
        <v>0</v>
      </c>
      <c r="M27" t="inlineStr">
        <is>
          <t>Response to W05 Reflection - Student responded they are overwhelmed.</t>
        </is>
      </c>
      <c r="N27" t="inlineStr">
        <is>
          <t>Student responded feeling overwhelmed to W05 Reflection. Reach out to student to see how you can help.</t>
        </is>
      </c>
    </row>
    <row r="28">
      <c r="A28" t="inlineStr">
        <is>
          <t>CSE110</t>
        </is>
      </c>
      <c r="B28" t="inlineStr">
        <is>
          <t>Grader-Issued 0</t>
        </is>
      </c>
      <c r="C28" t="inlineStr">
        <is>
          <t>W05 Project: Shopping Cart</t>
        </is>
      </c>
      <c r="D28" t="n">
        <v>6</v>
      </c>
      <c r="E28" t="n">
        <v>5</v>
      </c>
      <c r="H28" t="inlineStr">
        <is>
          <t>y</t>
        </is>
      </c>
      <c r="I28" s="87" t="n">
        <v>46240</v>
      </c>
      <c r="J28" s="87" t="n">
        <v>46243</v>
      </c>
      <c r="K28" s="87" t="n">
        <v>46243</v>
      </c>
      <c r="M28" t="inlineStr">
        <is>
          <t>Grader Issued 0: W05 Project</t>
        </is>
      </c>
      <c r="N28" t="inlineStr">
        <is>
          <t>This student received a grader-issued “0” on the W05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29">
      <c r="A29" t="inlineStr">
        <is>
          <t>CSE110</t>
        </is>
      </c>
      <c r="B29" t="inlineStr">
        <is>
          <t>High Performance</t>
        </is>
      </c>
      <c r="C29" t="inlineStr">
        <is>
          <t>W05 Project: Shopping Cart</t>
        </is>
      </c>
      <c r="D29" t="n">
        <v>6</v>
      </c>
      <c r="E29" t="n">
        <v>5</v>
      </c>
      <c r="F29" t="n">
        <v>100</v>
      </c>
      <c r="G29" t="n">
        <v>0.8</v>
      </c>
      <c r="H29" t="inlineStr">
        <is>
          <t>y</t>
        </is>
      </c>
      <c r="I29" s="87" t="n">
        <v>46240</v>
      </c>
      <c r="J29" s="87" t="n">
        <v>46243</v>
      </c>
      <c r="K29" s="87" t="n">
        <v>46243</v>
      </c>
      <c r="L29" t="n">
        <v>80</v>
      </c>
      <c r="M29" t="inlineStr">
        <is>
          <t>High-Performance: W05 Project</t>
        </is>
      </c>
      <c r="N29" t="inlineStr">
        <is>
          <t>This student scored 80% or higher on the W05 Project: Shopping Cart.  Send a message of praise and encouragement for effort and good performance on this assignment.</t>
        </is>
      </c>
    </row>
    <row r="30">
      <c r="A30" t="inlineStr">
        <is>
          <t>CSE110</t>
        </is>
      </c>
      <c r="B30" t="inlineStr">
        <is>
          <t>Low Performance</t>
        </is>
      </c>
      <c r="C30" t="inlineStr">
        <is>
          <t>W05 Project: Shopping Cart</t>
        </is>
      </c>
      <c r="D30" t="n">
        <v>6</v>
      </c>
      <c r="E30" t="n">
        <v>5</v>
      </c>
      <c r="F30" t="n">
        <v>100</v>
      </c>
      <c r="G30" t="n">
        <v>0.8</v>
      </c>
      <c r="H30" t="inlineStr">
        <is>
          <t>y</t>
        </is>
      </c>
      <c r="I30" s="87" t="n">
        <v>46240</v>
      </c>
      <c r="J30" s="87" t="n">
        <v>46243</v>
      </c>
      <c r="K30" s="87" t="n">
        <v>46243</v>
      </c>
      <c r="L30" t="n">
        <v>80</v>
      </c>
      <c r="M30" t="inlineStr">
        <is>
          <t>Outcomes Not Met: W05 Project</t>
        </is>
      </c>
      <c r="N30" t="inlineStr">
        <is>
          <t xml:space="preserve">This student scored less than 80% on the W05 Project: Shopping Cart. Send a message to this student offering some form of help so he/she can be more successful on this assignment and resubmit. </t>
        </is>
      </c>
    </row>
    <row r="31">
      <c r="A31" t="inlineStr">
        <is>
          <t>CSE110</t>
        </is>
      </c>
      <c r="B31" t="inlineStr">
        <is>
          <t>Scheduled - Classwide</t>
        </is>
      </c>
      <c r="C31" t="inlineStr">
        <is>
          <t>Course Closing Reminder</t>
        </is>
      </c>
      <c r="D31" t="n">
        <v>7</v>
      </c>
      <c r="E31" t="n">
        <v>1</v>
      </c>
      <c r="H31" t="inlineStr">
        <is>
          <t>y</t>
        </is>
      </c>
      <c r="I31" s="87" t="n">
        <v>46243</v>
      </c>
      <c r="J31" s="87" t="n">
        <v>46246</v>
      </c>
      <c r="K31" s="87" t="n">
        <v>46250</v>
      </c>
      <c r="M31" t="inlineStr">
        <is>
          <t>Course Closing Reminder</t>
        </is>
      </c>
      <c r="N31" t="inlineStr">
        <is>
          <t xml:space="preserve">Send a message to your students, reminding them that the course is closing this week and of the due dates they must meet to get assignments in and applied to their final grade. </t>
        </is>
      </c>
    </row>
    <row r="32">
      <c r="A32" t="inlineStr">
        <is>
          <t>CSE110</t>
        </is>
      </c>
      <c r="B32" t="inlineStr">
        <is>
          <t>Scheduled - Classwide</t>
        </is>
      </c>
      <c r="C32" t="inlineStr">
        <is>
          <t>Registration Reminder 2</t>
        </is>
      </c>
      <c r="D32" t="n">
        <v>7</v>
      </c>
      <c r="E32" t="n">
        <v>1</v>
      </c>
      <c r="H32" t="inlineStr">
        <is>
          <t>y</t>
        </is>
      </c>
      <c r="I32" s="87" t="n">
        <v>46243</v>
      </c>
      <c r="J32" s="87" t="n">
        <v>46246</v>
      </c>
      <c r="K32" s="87" t="n">
        <v>46250</v>
      </c>
      <c r="L32" t="n">
        <v>0</v>
      </c>
      <c r="M32" t="inlineStr">
        <is>
          <t>Registration Reminder 2</t>
        </is>
      </c>
      <c r="N32" t="inlineStr">
        <is>
          <t>Send a message to all students, reminding them that registration for the next block is still open, but will be closing soon. Encourage them to go in and register as soon as possible.</t>
        </is>
      </c>
    </row>
    <row r="33">
      <c r="A33" t="inlineStr">
        <is>
          <t>CSE110</t>
        </is>
      </c>
      <c r="B33" t="inlineStr">
        <is>
          <t>Scheduled - Classwide</t>
        </is>
      </c>
      <c r="C33" t="inlineStr">
        <is>
          <t>End of Block Reminder</t>
        </is>
      </c>
      <c r="D33" t="n">
        <v>7</v>
      </c>
      <c r="E33" t="n">
        <v>2</v>
      </c>
      <c r="F33" t="inlineStr">
        <is>
          <t xml:space="preserve"> </t>
        </is>
      </c>
      <c r="H33" t="inlineStr">
        <is>
          <t>y</t>
        </is>
      </c>
      <c r="I33" s="87" t="n">
        <v>46244</v>
      </c>
      <c r="J33" s="87" t="n">
        <v>46247</v>
      </c>
      <c r="K33" s="87" t="n">
        <v>46250</v>
      </c>
      <c r="M33" t="inlineStr">
        <is>
          <t>End of Block Reminder</t>
        </is>
      </c>
      <c r="N33" t="inlineStr">
        <is>
          <t>Remind Students the course will be closing, submit assignments by deadline, complete End-of-Course Evaluation</t>
        </is>
      </c>
    </row>
    <row r="34">
      <c r="A34" t="inlineStr">
        <is>
          <t>CSEPC110</t>
        </is>
      </c>
      <c r="B34" t="inlineStr">
        <is>
          <t>Grader-Issued 0</t>
        </is>
      </c>
      <c r="C34" t="inlineStr">
        <is>
          <t>W01 Project: Clever Stories</t>
        </is>
      </c>
      <c r="D34" t="n">
        <v>2</v>
      </c>
      <c r="E34" t="n">
        <v>5</v>
      </c>
      <c r="H34" t="inlineStr">
        <is>
          <t>y</t>
        </is>
      </c>
      <c r="I34" s="87" t="n">
        <v>46212</v>
      </c>
      <c r="J34" s="87" t="n">
        <v>46215</v>
      </c>
      <c r="K34" s="87" t="n">
        <v>46215</v>
      </c>
      <c r="M34" t="inlineStr">
        <is>
          <t>Grader Issued 0: W01 Project</t>
        </is>
      </c>
      <c r="N34" t="inlineStr">
        <is>
          <t>This student received a grader-issued “0” on the W01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35">
      <c r="A35" t="inlineStr">
        <is>
          <t>CSEPC110</t>
        </is>
      </c>
      <c r="B35" t="inlineStr">
        <is>
          <t>Grader-Issued 0</t>
        </is>
      </c>
      <c r="C35" t="inlineStr">
        <is>
          <t>W02 Project: Meal Price Calculator</t>
        </is>
      </c>
      <c r="D35" t="n">
        <v>3</v>
      </c>
      <c r="E35" t="n">
        <v>5</v>
      </c>
      <c r="H35" t="inlineStr">
        <is>
          <t>y</t>
        </is>
      </c>
      <c r="I35" s="87" t="n">
        <v>46219</v>
      </c>
      <c r="J35" s="87" t="n">
        <v>46222</v>
      </c>
      <c r="K35" s="87" t="n">
        <v>46222</v>
      </c>
      <c r="M35" t="inlineStr">
        <is>
          <t>Grader Issued 0: W02 Project</t>
        </is>
      </c>
      <c r="N35" t="inlineStr">
        <is>
          <t>This student received a grader-issued “0” on the W02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36">
      <c r="A36" t="inlineStr">
        <is>
          <t>CSEPC110</t>
        </is>
      </c>
      <c r="B36" t="inlineStr">
        <is>
          <t>Grader-Issued 0</t>
        </is>
      </c>
      <c r="C36" t="inlineStr">
        <is>
          <t>W03 Project: Adventure Game</t>
        </is>
      </c>
      <c r="D36" t="n">
        <v>4</v>
      </c>
      <c r="E36" t="n">
        <v>5</v>
      </c>
      <c r="H36" t="inlineStr">
        <is>
          <t>y</t>
        </is>
      </c>
      <c r="I36" s="87" t="n">
        <v>46226</v>
      </c>
      <c r="J36" s="87" t="n">
        <v>46229</v>
      </c>
      <c r="K36" s="87" t="n">
        <v>46229</v>
      </c>
      <c r="M36" t="inlineStr">
        <is>
          <t>Grader Issued 0: W03 Project</t>
        </is>
      </c>
      <c r="N36" t="inlineStr">
        <is>
          <t>This student received a grader-issued “0” on the W03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37">
      <c r="A37" t="inlineStr">
        <is>
          <t>CSEPC110</t>
        </is>
      </c>
      <c r="B37" t="inlineStr">
        <is>
          <t>Grader-Issued 0</t>
        </is>
      </c>
      <c r="C37" t="inlineStr">
        <is>
          <t>W04 Project: Word Puzzle</t>
        </is>
      </c>
      <c r="D37" t="n">
        <v>5</v>
      </c>
      <c r="E37" t="n">
        <v>5</v>
      </c>
      <c r="H37" t="inlineStr">
        <is>
          <t>y</t>
        </is>
      </c>
      <c r="I37" s="87" t="n">
        <v>46233</v>
      </c>
      <c r="J37" s="87" t="n">
        <v>46236</v>
      </c>
      <c r="K37" s="87" t="n">
        <v>46236</v>
      </c>
      <c r="M37" t="inlineStr">
        <is>
          <t>Grader Issued 0: W04 Project</t>
        </is>
      </c>
      <c r="N37" t="inlineStr">
        <is>
          <t>This student received a grader-issued “0” on the W04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38">
      <c r="A38" t="inlineStr">
        <is>
          <t>CSEPC110</t>
        </is>
      </c>
      <c r="B38" t="inlineStr">
        <is>
          <t>Grader-Issued 0</t>
        </is>
      </c>
      <c r="C38" t="inlineStr">
        <is>
          <t>W05 Project: Shopping Cart</t>
        </is>
      </c>
      <c r="D38" t="n">
        <v>6</v>
      </c>
      <c r="E38" t="n">
        <v>5</v>
      </c>
      <c r="H38" t="inlineStr">
        <is>
          <t>y</t>
        </is>
      </c>
      <c r="I38" s="87" t="n">
        <v>46240</v>
      </c>
      <c r="J38" s="87" t="n">
        <v>46243</v>
      </c>
      <c r="K38" s="87" t="n">
        <v>46243</v>
      </c>
      <c r="M38" t="inlineStr">
        <is>
          <t>Grader Issued 0: W05 Project</t>
        </is>
      </c>
      <c r="N38" t="inlineStr">
        <is>
          <t>This student received a grader-issued “0” on the W05 Project.  This is likely caused by the student submitting a blank template, wrong assignment, a plagiarized version of the assignment, or struggling so significantly that no outcomes were met.  Log into Canvas gradebook and review notes left by the grader.  Send a message to the student and work with the student to get the assignment resubmitted for grading.</t>
        </is>
      </c>
    </row>
    <row r="39">
      <c r="A39" t="inlineStr">
        <is>
          <t>CSEPC110</t>
        </is>
      </c>
      <c r="B39" t="inlineStr">
        <is>
          <t>High Performance</t>
        </is>
      </c>
      <c r="C39" t="inlineStr">
        <is>
          <t>W01 Project: Clever Stories</t>
        </is>
      </c>
      <c r="D39" t="n">
        <v>2</v>
      </c>
      <c r="E39" t="n">
        <v>5</v>
      </c>
      <c r="F39" t="n">
        <v>100</v>
      </c>
      <c r="G39" t="n">
        <v>0.8</v>
      </c>
      <c r="H39" t="inlineStr">
        <is>
          <t>y</t>
        </is>
      </c>
      <c r="I39" s="87" t="n">
        <v>46212</v>
      </c>
      <c r="J39" s="87" t="n">
        <v>46215</v>
      </c>
      <c r="K39" s="87" t="n">
        <v>46215</v>
      </c>
      <c r="L39" t="n">
        <v>80</v>
      </c>
      <c r="M39" t="inlineStr">
        <is>
          <t>High-Performance: W01 Project</t>
        </is>
      </c>
      <c r="N39" t="inlineStr">
        <is>
          <t>This student scored 80% or higher on the W01 Project: Clever Stories.  Send a message of praise and encouragement for effort and good performance on this assignment.</t>
        </is>
      </c>
    </row>
    <row r="40">
      <c r="A40" t="inlineStr">
        <is>
          <t>CSEPC110</t>
        </is>
      </c>
      <c r="B40" t="inlineStr">
        <is>
          <t>High Performance</t>
        </is>
      </c>
      <c r="C40" t="inlineStr">
        <is>
          <t>W02 Project: Meal Price Calculator</t>
        </is>
      </c>
      <c r="D40" t="n">
        <v>3</v>
      </c>
      <c r="E40" t="n">
        <v>5</v>
      </c>
      <c r="F40" t="n">
        <v>100</v>
      </c>
      <c r="G40" t="n">
        <v>0.8</v>
      </c>
      <c r="H40" t="inlineStr">
        <is>
          <t>y</t>
        </is>
      </c>
      <c r="I40" s="87" t="n">
        <v>46219</v>
      </c>
      <c r="J40" s="87" t="n">
        <v>46222</v>
      </c>
      <c r="K40" s="87" t="n">
        <v>46222</v>
      </c>
      <c r="L40" t="n">
        <v>80</v>
      </c>
      <c r="M40" t="inlineStr">
        <is>
          <t>High-Performance: W02 Project</t>
        </is>
      </c>
      <c r="N40" t="inlineStr">
        <is>
          <t>This student scored 80% or higher on the W02 Project: Meat Price Calculator.  Send a message of praise and encouragement for effort and good performance on this assignment.</t>
        </is>
      </c>
    </row>
    <row r="41">
      <c r="A41" t="inlineStr">
        <is>
          <t>CSEPC110</t>
        </is>
      </c>
      <c r="B41" t="inlineStr">
        <is>
          <t>High Performance</t>
        </is>
      </c>
      <c r="C41" t="inlineStr">
        <is>
          <t>W03 Project: Adventure Game</t>
        </is>
      </c>
      <c r="D41" t="n">
        <v>4</v>
      </c>
      <c r="E41" t="n">
        <v>5</v>
      </c>
      <c r="F41" t="n">
        <v>100</v>
      </c>
      <c r="G41" t="n">
        <v>0.8</v>
      </c>
      <c r="H41" t="inlineStr">
        <is>
          <t>y</t>
        </is>
      </c>
      <c r="I41" s="87" t="n">
        <v>46226</v>
      </c>
      <c r="J41" s="87" t="n">
        <v>46229</v>
      </c>
      <c r="K41" s="87" t="n">
        <v>46229</v>
      </c>
      <c r="L41" t="n">
        <v>80</v>
      </c>
      <c r="M41" t="inlineStr">
        <is>
          <t>High-Performance: W03 Project</t>
        </is>
      </c>
      <c r="N41" t="inlineStr">
        <is>
          <t>This student scored 80% or higher on the W03 Project: Adventure Game.  Send a message of praise and encouragement for effort and good performance on this assignment.</t>
        </is>
      </c>
    </row>
    <row r="42">
      <c r="A42" t="inlineStr">
        <is>
          <t>CSEPC110</t>
        </is>
      </c>
      <c r="B42" t="inlineStr">
        <is>
          <t>High Performance</t>
        </is>
      </c>
      <c r="C42" t="inlineStr">
        <is>
          <t>W04 Project: Word Puzzle</t>
        </is>
      </c>
      <c r="D42" t="n">
        <v>5</v>
      </c>
      <c r="E42" t="n">
        <v>5</v>
      </c>
      <c r="F42" t="n">
        <v>100</v>
      </c>
      <c r="G42" t="n">
        <v>0.8</v>
      </c>
      <c r="H42" t="inlineStr">
        <is>
          <t>y</t>
        </is>
      </c>
      <c r="I42" s="87" t="n">
        <v>46233</v>
      </c>
      <c r="J42" s="87" t="n">
        <v>46236</v>
      </c>
      <c r="K42" s="87" t="n">
        <v>46236</v>
      </c>
      <c r="L42" t="n">
        <v>80</v>
      </c>
      <c r="M42" t="inlineStr">
        <is>
          <t>High-Performance: W04 Project</t>
        </is>
      </c>
      <c r="N42" t="inlineStr">
        <is>
          <t>This student scored 80% or higher on the W04 Project: Word Puzzle.  Send a message of praise and encouragement for effort and good performance on this assignment.</t>
        </is>
      </c>
    </row>
    <row r="43">
      <c r="A43" t="inlineStr">
        <is>
          <t>CSEPC110</t>
        </is>
      </c>
      <c r="B43" t="inlineStr">
        <is>
          <t>High Performance</t>
        </is>
      </c>
      <c r="C43" t="inlineStr">
        <is>
          <t>W05 Project: Shopping Cart</t>
        </is>
      </c>
      <c r="D43" t="n">
        <v>6</v>
      </c>
      <c r="E43" t="n">
        <v>5</v>
      </c>
      <c r="F43" t="n">
        <v>100</v>
      </c>
      <c r="G43" t="n">
        <v>0.8</v>
      </c>
      <c r="H43" t="inlineStr">
        <is>
          <t>y</t>
        </is>
      </c>
      <c r="I43" s="87" t="n">
        <v>46240</v>
      </c>
      <c r="J43" s="87" t="n">
        <v>46243</v>
      </c>
      <c r="K43" s="87" t="n">
        <v>46243</v>
      </c>
      <c r="L43" t="n">
        <v>80</v>
      </c>
      <c r="M43" t="inlineStr">
        <is>
          <t>High-Performance: W05 Project</t>
        </is>
      </c>
      <c r="N43" t="inlineStr">
        <is>
          <t>This student scored 80% or higher on the W05 Project: Shopping Cart.  Send a message of praise and encouragement for effort and good performance on this assignment.</t>
        </is>
      </c>
    </row>
    <row r="44">
      <c r="A44" t="inlineStr">
        <is>
          <t>CSEPC110</t>
        </is>
      </c>
      <c r="B44" t="inlineStr">
        <is>
          <t>Low Performance</t>
        </is>
      </c>
      <c r="C44" t="inlineStr">
        <is>
          <t>W01 Project: Clever Stories</t>
        </is>
      </c>
      <c r="D44" t="n">
        <v>2</v>
      </c>
      <c r="E44" t="n">
        <v>5</v>
      </c>
      <c r="F44" t="n">
        <v>100</v>
      </c>
      <c r="G44" t="n">
        <v>0.8</v>
      </c>
      <c r="H44" t="inlineStr">
        <is>
          <t>y</t>
        </is>
      </c>
      <c r="I44" s="87" t="n">
        <v>46212</v>
      </c>
      <c r="J44" s="87" t="n">
        <v>46215</v>
      </c>
      <c r="K44" s="87" t="n">
        <v>46215</v>
      </c>
      <c r="L44" t="n">
        <v>80</v>
      </c>
      <c r="M44" t="inlineStr">
        <is>
          <t>Outcomes Not Met: W01 Project</t>
        </is>
      </c>
      <c r="N44" t="inlineStr">
        <is>
          <t xml:space="preserve">This student scored less than 80% on the W01 Project: Clever Stories. Send a message to this student offering some form of help so he/she can be more successful on this assignment and resubmit. </t>
        </is>
      </c>
    </row>
    <row r="45">
      <c r="A45" t="inlineStr">
        <is>
          <t>CSEPC110</t>
        </is>
      </c>
      <c r="B45" t="inlineStr">
        <is>
          <t>Low Performance</t>
        </is>
      </c>
      <c r="C45" t="inlineStr">
        <is>
          <t>W02 Project: Meal Price Calculator</t>
        </is>
      </c>
      <c r="D45" t="n">
        <v>3</v>
      </c>
      <c r="E45" t="n">
        <v>5</v>
      </c>
      <c r="F45" t="n">
        <v>100</v>
      </c>
      <c r="G45" t="n">
        <v>0.8</v>
      </c>
      <c r="H45" t="inlineStr">
        <is>
          <t>y</t>
        </is>
      </c>
      <c r="I45" s="87" t="n">
        <v>46219</v>
      </c>
      <c r="J45" s="87" t="n">
        <v>46222</v>
      </c>
      <c r="K45" s="87" t="n">
        <v>46222</v>
      </c>
      <c r="L45" t="n">
        <v>80</v>
      </c>
      <c r="M45" t="inlineStr">
        <is>
          <t>Outcomes Not Met: W02 Project</t>
        </is>
      </c>
      <c r="N45" t="inlineStr">
        <is>
          <t xml:space="preserve">This student scored less than 80% on the W02 Project: Meal Price Calculator. Send a message to this student offering some form of help so he/she can be more successful on this assignment and resubmit. </t>
        </is>
      </c>
    </row>
    <row r="46">
      <c r="A46" t="inlineStr">
        <is>
          <t>CSEPC110</t>
        </is>
      </c>
      <c r="B46" t="inlineStr">
        <is>
          <t>Low Performance</t>
        </is>
      </c>
      <c r="C46" t="inlineStr">
        <is>
          <t>W03 Project: Adventure Game</t>
        </is>
      </c>
      <c r="D46" t="n">
        <v>4</v>
      </c>
      <c r="E46" t="n">
        <v>5</v>
      </c>
      <c r="F46" t="n">
        <v>100</v>
      </c>
      <c r="G46" t="n">
        <v>0.8</v>
      </c>
      <c r="H46" t="inlineStr">
        <is>
          <t>y</t>
        </is>
      </c>
      <c r="I46" s="87" t="n">
        <v>46226</v>
      </c>
      <c r="J46" s="87" t="n">
        <v>46229</v>
      </c>
      <c r="K46" s="87" t="n">
        <v>46229</v>
      </c>
      <c r="L46" t="n">
        <v>80</v>
      </c>
      <c r="M46" t="inlineStr">
        <is>
          <t>Outcomes Not Met: W03 Project</t>
        </is>
      </c>
      <c r="N46" t="inlineStr">
        <is>
          <t xml:space="preserve">This student scored less than 80% on the W03 Project: Adventure Game. Send a message to this student offering some form of help so he/she can be more successful on this assignment and resubmit. </t>
        </is>
      </c>
    </row>
    <row r="47">
      <c r="A47" t="inlineStr">
        <is>
          <t>CSEPC110</t>
        </is>
      </c>
      <c r="B47" t="inlineStr">
        <is>
          <t>Low Performance</t>
        </is>
      </c>
      <c r="C47" t="inlineStr">
        <is>
          <t>W04 Project: Word Puzzle</t>
        </is>
      </c>
      <c r="D47" t="n">
        <v>5</v>
      </c>
      <c r="E47" t="n">
        <v>5</v>
      </c>
      <c r="F47" t="n">
        <v>100</v>
      </c>
      <c r="G47" t="n">
        <v>0.8</v>
      </c>
      <c r="H47" t="inlineStr">
        <is>
          <t>y</t>
        </is>
      </c>
      <c r="I47" s="87" t="n">
        <v>46233</v>
      </c>
      <c r="J47" s="87" t="n">
        <v>46236</v>
      </c>
      <c r="K47" s="87" t="n">
        <v>46236</v>
      </c>
      <c r="L47" t="n">
        <v>80</v>
      </c>
      <c r="M47" t="inlineStr">
        <is>
          <t>Outcomes Not Met: W04 Project</t>
        </is>
      </c>
      <c r="N47" t="inlineStr">
        <is>
          <t xml:space="preserve">This student scored less than 80% on the W04 Project: Word Puzzle. Send a message to this student offering some form of help so he/she can be more successful on this assignment and resubmit. </t>
        </is>
      </c>
    </row>
    <row r="48">
      <c r="A48" t="inlineStr">
        <is>
          <t>CSEPC110</t>
        </is>
      </c>
      <c r="B48" t="inlineStr">
        <is>
          <t>Low Performance</t>
        </is>
      </c>
      <c r="C48" t="inlineStr">
        <is>
          <t>W05 Project: Shopping Cart</t>
        </is>
      </c>
      <c r="D48" t="n">
        <v>6</v>
      </c>
      <c r="E48" t="n">
        <v>5</v>
      </c>
      <c r="F48" t="n">
        <v>100</v>
      </c>
      <c r="G48" t="n">
        <v>0.8</v>
      </c>
      <c r="H48" t="inlineStr">
        <is>
          <t>y</t>
        </is>
      </c>
      <c r="I48" s="87" t="n">
        <v>46240</v>
      </c>
      <c r="J48" s="87" t="n">
        <v>46243</v>
      </c>
      <c r="K48" s="87" t="n">
        <v>46243</v>
      </c>
      <c r="L48" t="n">
        <v>80</v>
      </c>
      <c r="M48" t="inlineStr">
        <is>
          <t>Outcomes Not Met: W05 Project</t>
        </is>
      </c>
      <c r="N48" t="inlineStr">
        <is>
          <t xml:space="preserve">This student scored less than 80% on the W05 Project: Shopping Cart. Send a message to this student offering some form of help so he/she can be more successful on this assignment and resubmit. </t>
        </is>
      </c>
    </row>
    <row r="49">
      <c r="A49" t="inlineStr">
        <is>
          <t>CSEPC110</t>
        </is>
      </c>
      <c r="B49" t="inlineStr">
        <is>
          <t>Missing Assignment</t>
        </is>
      </c>
      <c r="C49" t="inlineStr">
        <is>
          <t>W01 Project: Clever Stories</t>
        </is>
      </c>
      <c r="D49" t="n">
        <v>2</v>
      </c>
      <c r="E49" t="n">
        <v>1</v>
      </c>
      <c r="H49" t="inlineStr">
        <is>
          <t>y</t>
        </is>
      </c>
      <c r="I49" s="87" t="n">
        <v>46208</v>
      </c>
      <c r="J49" s="87" t="n">
        <v>46211</v>
      </c>
      <c r="K49" s="87" t="n">
        <v>46215</v>
      </c>
      <c r="M49" t="inlineStr">
        <is>
          <t>Missing W01 Project: Clever Stories</t>
        </is>
      </c>
      <c r="N49" t="inlineStr">
        <is>
          <t>Missing  W01 Project: Clever Stories. Send a message to check in with this student and encourage timely submission of the missing assignment</t>
        </is>
      </c>
    </row>
    <row r="50">
      <c r="A50" t="inlineStr">
        <is>
          <t>CSEPC110</t>
        </is>
      </c>
      <c r="B50" t="inlineStr">
        <is>
          <t>Missing Assignment</t>
        </is>
      </c>
      <c r="C50" t="inlineStr">
        <is>
          <t>W02 Project: Meal Price Calculator</t>
        </is>
      </c>
      <c r="D50" t="n">
        <v>3</v>
      </c>
      <c r="E50" t="n">
        <v>1</v>
      </c>
      <c r="H50" t="inlineStr">
        <is>
          <t>y</t>
        </is>
      </c>
      <c r="I50" s="87" t="n">
        <v>46215</v>
      </c>
      <c r="J50" s="87" t="n">
        <v>46218</v>
      </c>
      <c r="K50" s="87" t="n">
        <v>46222</v>
      </c>
      <c r="M50" t="inlineStr">
        <is>
          <t>Missing W02 Project: Meal Price Calculator</t>
        </is>
      </c>
      <c r="N50" t="inlineStr">
        <is>
          <t>Missing  W02 Project: Meal Price Calculator. Send a message to check in with this student and encourage timely submission of the missing assignment</t>
        </is>
      </c>
    </row>
    <row r="51">
      <c r="A51" t="inlineStr">
        <is>
          <t>CSEPC110</t>
        </is>
      </c>
      <c r="B51" t="inlineStr">
        <is>
          <t>Missing Assignment</t>
        </is>
      </c>
      <c r="C51" t="inlineStr">
        <is>
          <t>W03 Project: Adventure Game</t>
        </is>
      </c>
      <c r="D51" t="n">
        <v>4</v>
      </c>
      <c r="E51" t="n">
        <v>1</v>
      </c>
      <c r="H51" t="inlineStr">
        <is>
          <t>y</t>
        </is>
      </c>
      <c r="I51" s="87" t="n">
        <v>46222</v>
      </c>
      <c r="J51" s="87" t="n">
        <v>46225</v>
      </c>
      <c r="K51" s="87" t="n">
        <v>46229</v>
      </c>
      <c r="M51" t="inlineStr">
        <is>
          <t>Missing W03 Project: Adventure Game</t>
        </is>
      </c>
      <c r="N51" t="inlineStr">
        <is>
          <t>Missing  W03 Project: Adventure Game. Send a message to check in with this student and encourage timely submission of the missing assignment</t>
        </is>
      </c>
    </row>
    <row r="52">
      <c r="A52" t="inlineStr">
        <is>
          <t>CSEPC110</t>
        </is>
      </c>
      <c r="B52" t="inlineStr">
        <is>
          <t>Missing Assignment</t>
        </is>
      </c>
      <c r="C52" t="inlineStr">
        <is>
          <t>W04 Project: Word Puzzle</t>
        </is>
      </c>
      <c r="D52" t="n">
        <v>5</v>
      </c>
      <c r="E52" t="n">
        <v>1</v>
      </c>
      <c r="H52" t="inlineStr">
        <is>
          <t>y</t>
        </is>
      </c>
      <c r="I52" s="87" t="n">
        <v>46229</v>
      </c>
      <c r="J52" s="87" t="n">
        <v>46232</v>
      </c>
      <c r="K52" s="87" t="n">
        <v>46236</v>
      </c>
      <c r="M52" t="inlineStr">
        <is>
          <t>Missing W04 Project: Word Puzzle</t>
        </is>
      </c>
      <c r="N52" t="inlineStr">
        <is>
          <t>Missing  W04 Project: Word Puzzle. Send a message to check in with this student and encourage timely submission of the missing assignment</t>
        </is>
      </c>
    </row>
    <row r="53">
      <c r="A53" t="inlineStr">
        <is>
          <t>CSEPC110</t>
        </is>
      </c>
      <c r="B53" t="inlineStr">
        <is>
          <t>Missing Assignment</t>
        </is>
      </c>
      <c r="C53" t="inlineStr">
        <is>
          <t>W05 Project: Shopping Cart</t>
        </is>
      </c>
      <c r="D53" t="n">
        <v>6</v>
      </c>
      <c r="E53" t="n">
        <v>1</v>
      </c>
      <c r="H53" t="inlineStr">
        <is>
          <t>y</t>
        </is>
      </c>
      <c r="I53" s="87" t="n">
        <v>46236</v>
      </c>
      <c r="J53" s="87" t="n">
        <v>46239</v>
      </c>
      <c r="K53" s="87" t="n">
        <v>46243</v>
      </c>
      <c r="M53" t="inlineStr">
        <is>
          <t>Missing W05 Project: Shopping Cart</t>
        </is>
      </c>
      <c r="N53" t="inlineStr">
        <is>
          <t>Missing  W05 Project: Shopping Cart. Send a message to check in with this student and encourage timely submission of the missing assignment</t>
        </is>
      </c>
    </row>
    <row r="54">
      <c r="A54" t="inlineStr">
        <is>
          <t>CSEPC110</t>
        </is>
      </c>
      <c r="B54" t="inlineStr">
        <is>
          <t>New Student Added</t>
        </is>
      </c>
      <c r="C54" t="inlineStr">
        <is>
          <t>New Student Added</t>
        </is>
      </c>
      <c r="D54" t="n">
        <v>0</v>
      </c>
      <c r="E54" t="n">
        <v>2</v>
      </c>
      <c r="H54" t="inlineStr">
        <is>
          <t>y</t>
        </is>
      </c>
      <c r="I54" s="87" t="n">
        <v>46195</v>
      </c>
      <c r="J54" s="87" t="n">
        <v>46198</v>
      </c>
      <c r="K54" s="87" t="n">
        <v>46201</v>
      </c>
      <c r="M54" t="inlineStr">
        <is>
          <t>New Student Added</t>
        </is>
      </c>
      <c r="N54" t="inlineStr">
        <is>
          <t>Send a message to new students to welcome them to class and help them submit any assignments they missed.</t>
        </is>
      </c>
    </row>
    <row r="55">
      <c r="A55" t="inlineStr">
        <is>
          <t>CSEPC110</t>
        </is>
      </c>
      <c r="B55" t="inlineStr">
        <is>
          <t>Quiz Question</t>
        </is>
      </c>
      <c r="C55" t="inlineStr">
        <is>
          <t>W01 Quiz: Course Expectations: Question: Laptop Answer: No</t>
        </is>
      </c>
      <c r="D55" t="n">
        <v>1</v>
      </c>
      <c r="E55" t="n">
        <v>2</v>
      </c>
      <c r="H55" t="inlineStr">
        <is>
          <t>y</t>
        </is>
      </c>
      <c r="I55" s="87" t="n">
        <v>46202</v>
      </c>
      <c r="J55" s="87" t="n">
        <v>46205</v>
      </c>
      <c r="K55" s="87" t="n">
        <v>46208</v>
      </c>
      <c r="L55" t="n">
        <v>0</v>
      </c>
      <c r="M55" t="inlineStr">
        <is>
          <t>No access to a computer</t>
        </is>
      </c>
      <c r="N55" t="inlineStr">
        <is>
          <t>Send a message to each student letting them know that they cannot be successful in this course without a computer. Suggest they drop the course and take it when they have access to a computer. (See Teaching notes for additional information)</t>
        </is>
      </c>
    </row>
    <row r="56">
      <c r="A56" t="inlineStr">
        <is>
          <t>CSEPC110</t>
        </is>
      </c>
      <c r="B56" t="inlineStr">
        <is>
          <t>Quiz Question</t>
        </is>
      </c>
      <c r="C56" t="inlineStr">
        <is>
          <t>W01 Reflection: NeedHelp Answer: Yes</t>
        </is>
      </c>
      <c r="D56" t="n">
        <v>2</v>
      </c>
      <c r="E56" t="n">
        <v>2</v>
      </c>
      <c r="H56" t="inlineStr">
        <is>
          <t>y</t>
        </is>
      </c>
      <c r="I56" s="87" t="n">
        <v>46209</v>
      </c>
      <c r="J56" s="87" t="n">
        <v>46212</v>
      </c>
      <c r="K56" s="87" t="n">
        <v>46215</v>
      </c>
      <c r="L56" t="n">
        <v>0</v>
      </c>
      <c r="M56" t="inlineStr">
        <is>
          <t>Response to W01 Reflection - Student responded they are overwhelmed.</t>
        </is>
      </c>
      <c r="N56" t="inlineStr">
        <is>
          <t>Student responded feeling overwhelmed to W01 Reflection. Reach out to student to see how you can help.</t>
        </is>
      </c>
    </row>
    <row r="57">
      <c r="A57" t="inlineStr">
        <is>
          <t>CSEPC110</t>
        </is>
      </c>
      <c r="B57" t="inlineStr">
        <is>
          <t>Quiz Question</t>
        </is>
      </c>
      <c r="C57" t="inlineStr">
        <is>
          <t>W02 Reflection: NeedHelp Answer: Yes</t>
        </is>
      </c>
      <c r="D57" t="n">
        <v>3</v>
      </c>
      <c r="E57" t="n">
        <v>2</v>
      </c>
      <c r="H57" t="inlineStr">
        <is>
          <t>y</t>
        </is>
      </c>
      <c r="I57" s="87" t="n">
        <v>46216</v>
      </c>
      <c r="J57" s="87" t="n">
        <v>46219</v>
      </c>
      <c r="K57" s="87" t="n">
        <v>46222</v>
      </c>
      <c r="L57" t="n">
        <v>0</v>
      </c>
      <c r="M57" t="inlineStr">
        <is>
          <t>Response to W02 Reflection - Student responded they are overwhelmed.</t>
        </is>
      </c>
      <c r="N57" t="inlineStr">
        <is>
          <t>Student responded feeling overwhelmed to W02 Reflection. Reach out to student to see how you can help.</t>
        </is>
      </c>
    </row>
    <row r="58">
      <c r="A58" t="inlineStr">
        <is>
          <t>CSEPC110</t>
        </is>
      </c>
      <c r="B58" t="inlineStr">
        <is>
          <t>Quiz Question</t>
        </is>
      </c>
      <c r="C58" t="inlineStr">
        <is>
          <t>W03 Reflection: NeedHelp Answer: Yes</t>
        </is>
      </c>
      <c r="D58" t="n">
        <v>4</v>
      </c>
      <c r="E58" t="n">
        <v>2</v>
      </c>
      <c r="H58" t="inlineStr">
        <is>
          <t>y</t>
        </is>
      </c>
      <c r="I58" s="87" t="n">
        <v>46223</v>
      </c>
      <c r="J58" s="87" t="n">
        <v>46226</v>
      </c>
      <c r="K58" s="87" t="n">
        <v>46229</v>
      </c>
      <c r="L58" t="n">
        <v>0</v>
      </c>
      <c r="M58" t="inlineStr">
        <is>
          <t>Response to W03 Reflection - Student responded they are overwhelmed.</t>
        </is>
      </c>
      <c r="N58" t="inlineStr">
        <is>
          <t>Student responded feeling overwhelmed to W03 Reflection. Reach out to student to see how you can help.</t>
        </is>
      </c>
    </row>
    <row r="59">
      <c r="A59" t="inlineStr">
        <is>
          <t>CSEPC110</t>
        </is>
      </c>
      <c r="B59" t="inlineStr">
        <is>
          <t>Quiz Question</t>
        </is>
      </c>
      <c r="C59" t="inlineStr">
        <is>
          <t>W04 Reflection: NeedHelp Answer: Yes</t>
        </is>
      </c>
      <c r="D59" t="n">
        <v>5</v>
      </c>
      <c r="E59" t="n">
        <v>2</v>
      </c>
      <c r="H59" t="inlineStr">
        <is>
          <t>y</t>
        </is>
      </c>
      <c r="I59" s="87" t="n">
        <v>46230</v>
      </c>
      <c r="J59" s="87" t="n">
        <v>46233</v>
      </c>
      <c r="K59" s="87" t="n">
        <v>46236</v>
      </c>
      <c r="L59" t="n">
        <v>0</v>
      </c>
      <c r="M59" t="inlineStr">
        <is>
          <t>Response to W04 Reflection - Student responded they are overwhelmed.</t>
        </is>
      </c>
      <c r="N59" t="inlineStr">
        <is>
          <t>Student responded feeling overwhelmed to W04 Reflection. Reach out to student to see how you can help.</t>
        </is>
      </c>
    </row>
    <row r="60">
      <c r="A60" t="inlineStr">
        <is>
          <t>CSEPC110</t>
        </is>
      </c>
      <c r="B60" t="inlineStr">
        <is>
          <t>Quiz Question</t>
        </is>
      </c>
      <c r="C60" t="inlineStr">
        <is>
          <t>W05 Reflection: NeedHelp Answer: Yes</t>
        </is>
      </c>
      <c r="D60" t="n">
        <v>6</v>
      </c>
      <c r="E60" t="n">
        <v>2</v>
      </c>
      <c r="H60" t="inlineStr">
        <is>
          <t>y</t>
        </is>
      </c>
      <c r="I60" s="87" t="n">
        <v>46237</v>
      </c>
      <c r="J60" s="87" t="n">
        <v>46240</v>
      </c>
      <c r="K60" s="87" t="n">
        <v>46243</v>
      </c>
      <c r="L60" t="n">
        <v>0</v>
      </c>
      <c r="M60" t="inlineStr">
        <is>
          <t>Response to W05 Reflection - Student responded they are overwhelmed.</t>
        </is>
      </c>
      <c r="N60" t="inlineStr">
        <is>
          <t>Student responded feeling overwhelmed to W05 Reflection. Reach out to student to see how you can help.</t>
        </is>
      </c>
    </row>
    <row r="61">
      <c r="A61" t="inlineStr">
        <is>
          <t>CSEPC110</t>
        </is>
      </c>
      <c r="B61" t="inlineStr">
        <is>
          <t>Scheduled - Not Logged In</t>
        </is>
      </c>
      <c r="C61" t="inlineStr">
        <is>
          <t>Not Logged into Canvas</t>
        </is>
      </c>
      <c r="D61" t="n">
        <v>1</v>
      </c>
      <c r="E61" t="n">
        <v>4</v>
      </c>
      <c r="H61" t="inlineStr">
        <is>
          <t>y</t>
        </is>
      </c>
      <c r="I61" s="87" t="n">
        <v>46204</v>
      </c>
      <c r="J61" s="87" t="n">
        <v>46207</v>
      </c>
      <c r="K61" s="87" t="n">
        <v>46208</v>
      </c>
      <c r="M61" t="inlineStr">
        <is>
          <t>Not Logged Into Canvas</t>
        </is>
      </c>
      <c r="N61" t="inlineStr">
        <is>
          <t>Send a message (outside of Canvas) to students who have not logged into Canvas encouraging them to log in before Monday of Week 2.</t>
        </is>
      </c>
    </row>
    <row r="62">
      <c r="A62" t="inlineStr">
        <is>
          <t>CSEPC110</t>
        </is>
      </c>
      <c r="B62" t="inlineStr">
        <is>
          <t>Scheduled - Low Current Grade</t>
        </is>
      </c>
      <c r="C62" t="inlineStr">
        <is>
          <t>Withdraw Deadline Reminder</t>
        </is>
      </c>
      <c r="D62" t="n">
        <v>4</v>
      </c>
      <c r="E62" t="n">
        <v>4</v>
      </c>
      <c r="H62" t="inlineStr">
        <is>
          <t>y</t>
        </is>
      </c>
      <c r="I62" s="87" t="n">
        <v>46225</v>
      </c>
      <c r="J62" s="87" t="n">
        <v>46228</v>
      </c>
      <c r="K62" s="87" t="n">
        <v>46229</v>
      </c>
      <c r="L62" t="n">
        <v>0</v>
      </c>
      <c r="M62" t="inlineStr">
        <is>
          <t>Failing student. Withdraw Reminder</t>
        </is>
      </c>
      <c r="N62" t="inlineStr">
        <is>
          <t>Email students who are currently failing with little chance to catch up, reminding them of the withdraw deadline.</t>
        </is>
      </c>
    </row>
    <row r="63">
      <c r="A63" t="inlineStr">
        <is>
          <t>CSEPC110</t>
        </is>
      </c>
      <c r="B63" t="inlineStr">
        <is>
          <t>Scheduled - Classwide</t>
        </is>
      </c>
      <c r="C63" t="inlineStr">
        <is>
          <t>Course Closing Reminder</t>
        </is>
      </c>
      <c r="D63" t="n">
        <v>7</v>
      </c>
      <c r="E63" t="n">
        <v>1</v>
      </c>
      <c r="H63" t="inlineStr">
        <is>
          <t>y</t>
        </is>
      </c>
      <c r="I63" s="87" t="n">
        <v>46243</v>
      </c>
      <c r="J63" s="87" t="n">
        <v>46246</v>
      </c>
      <c r="K63" s="87" t="n">
        <v>46250</v>
      </c>
      <c r="M63" t="inlineStr">
        <is>
          <t>Course Closing Reminder</t>
        </is>
      </c>
      <c r="N63" t="inlineStr">
        <is>
          <t xml:space="preserve">Send a message to your students, reminding them that the course is closing this week and of the due dates they must meet to get assignments in and applied to their final grade. </t>
        </is>
      </c>
    </row>
    <row r="64">
      <c r="A64" t="inlineStr">
        <is>
          <t>CSEPC110</t>
        </is>
      </c>
      <c r="B64" t="inlineStr">
        <is>
          <t>Scheduled - Classwide</t>
        </is>
      </c>
      <c r="C64" t="inlineStr">
        <is>
          <t>Registration Reminder 2</t>
        </is>
      </c>
      <c r="D64" t="n">
        <v>7</v>
      </c>
      <c r="E64" t="n">
        <v>1</v>
      </c>
      <c r="H64" t="inlineStr">
        <is>
          <t>y</t>
        </is>
      </c>
      <c r="I64" s="87" t="n">
        <v>46243</v>
      </c>
      <c r="J64" s="87" t="n">
        <v>46246</v>
      </c>
      <c r="K64" s="87" t="n">
        <v>46250</v>
      </c>
      <c r="L64" t="n">
        <v>0</v>
      </c>
      <c r="M64" t="inlineStr">
        <is>
          <t>Registration Reminder 2</t>
        </is>
      </c>
      <c r="N64" t="inlineStr">
        <is>
          <t>Send a message to all students, reminding them that registration for the next block is still open, but will be closing soon. Encourage them to go in and register as soon as possible.</t>
        </is>
      </c>
    </row>
    <row r="65">
      <c r="A65" t="inlineStr">
        <is>
          <t>CSEPC110</t>
        </is>
      </c>
      <c r="B65" t="inlineStr">
        <is>
          <t>Scheduled - Classwide</t>
        </is>
      </c>
      <c r="C65" t="inlineStr">
        <is>
          <t>End of Block Reminder</t>
        </is>
      </c>
      <c r="D65" t="n">
        <v>7</v>
      </c>
      <c r="E65" t="n">
        <v>2</v>
      </c>
      <c r="H65" t="inlineStr">
        <is>
          <t>y</t>
        </is>
      </c>
      <c r="I65" s="87" t="n">
        <v>46244</v>
      </c>
      <c r="J65" s="87" t="n">
        <v>46247</v>
      </c>
      <c r="K65" s="87" t="n">
        <v>46250</v>
      </c>
      <c r="L65" t="e">
        <v>#VALUE!</v>
      </c>
      <c r="M65" t="inlineStr">
        <is>
          <t>End of Block Reminder</t>
        </is>
      </c>
      <c r="N65" t="inlineStr">
        <is>
          <t>Remind Students the course will be closing, submit assignments by deadline, complete End-of-Course Evaluation</t>
        </is>
      </c>
    </row>
    <row r="66">
      <c r="A66" t="inlineStr">
        <is>
          <t>CSEPC110M</t>
        </is>
      </c>
      <c r="B66" t="inlineStr">
        <is>
          <t>New Student Added</t>
        </is>
      </c>
      <c r="C66" t="inlineStr">
        <is>
          <t>New Student Added</t>
        </is>
      </c>
      <c r="D66" t="n">
        <v>0</v>
      </c>
      <c r="E66" t="n">
        <v>2</v>
      </c>
      <c r="J66" s="87" t="n">
        <v>46195</v>
      </c>
      <c r="K66" s="87" t="n">
        <v>46198</v>
      </c>
      <c r="L66" s="87" t="n">
        <v>46201</v>
      </c>
      <c r="M66" t="n">
        <v>0</v>
      </c>
      <c r="N66" t="inlineStr">
        <is>
          <t>New Student Added</t>
        </is>
      </c>
      <c r="O66" t="inlineStr">
        <is>
          <t>Send a message to new students to welcome them to class and help them submit any assignments they missed.</t>
        </is>
      </c>
    </row>
    <row r="67">
      <c r="A67" t="inlineStr">
        <is>
          <t>CSEPC110M</t>
        </is>
      </c>
      <c r="B67" t="inlineStr">
        <is>
          <t>Grader-Issued 0</t>
        </is>
      </c>
      <c r="C67" t="inlineStr">
        <is>
          <t>1.4 Project: Clever Stories</t>
        </is>
      </c>
      <c r="D67" t="n">
        <v>1</v>
      </c>
      <c r="E67" t="n">
        <v>1</v>
      </c>
      <c r="I67" s="88" t="n">
        <v>45906.99930555555</v>
      </c>
      <c r="J67" s="87" t="n">
        <v>46201</v>
      </c>
      <c r="K67" s="87" t="n">
        <v>46204</v>
      </c>
      <c r="L67" s="88" t="n">
        <v>45920.99930555555</v>
      </c>
      <c r="M67" t="n">
        <v>0</v>
      </c>
      <c r="N67" t="inlineStr">
        <is>
          <t>Outcomes Not Met: 1.4 Project</t>
        </is>
      </c>
      <c r="O67" t="inlineStr">
        <is>
          <t xml:space="preserve">This student did not meet the outcomes of this assignment. Send a message to this student offering some form of help so he/she can be more successful on this assignment and resubmit. </t>
        </is>
      </c>
    </row>
    <row r="68">
      <c r="A68" t="inlineStr">
        <is>
          <t>CSEPC110M</t>
        </is>
      </c>
      <c r="B68" t="inlineStr">
        <is>
          <t>Grader-Issued 0</t>
        </is>
      </c>
      <c r="C68" t="inlineStr">
        <is>
          <t>2.4 Project: Meal Price Calculator</t>
        </is>
      </c>
      <c r="D68" t="n">
        <v>1</v>
      </c>
      <c r="E68" t="n">
        <v>1</v>
      </c>
      <c r="I68" s="88" t="n">
        <v>45913.99930555555</v>
      </c>
      <c r="J68" s="87" t="n">
        <v>46201</v>
      </c>
      <c r="K68" s="87" t="n">
        <v>46204</v>
      </c>
      <c r="L68" s="88" t="n">
        <v>45927.99930555555</v>
      </c>
      <c r="M68" t="n">
        <v>0</v>
      </c>
      <c r="N68" t="inlineStr">
        <is>
          <t>Outcomes Not Met: 2.4 Project</t>
        </is>
      </c>
      <c r="O68" t="inlineStr">
        <is>
          <t xml:space="preserve">This student did not meet the outcomes of this assignment. Send a message to this student offering some form of help so he/she can be more successful on this assignment and resubmit. </t>
        </is>
      </c>
    </row>
    <row r="69">
      <c r="A69" t="inlineStr">
        <is>
          <t>CSEPC110M</t>
        </is>
      </c>
      <c r="B69" t="inlineStr">
        <is>
          <t>Grader-Issued 0</t>
        </is>
      </c>
      <c r="C69" t="inlineStr">
        <is>
          <t>3.4 Project: Adventure Game</t>
        </is>
      </c>
      <c r="D69" t="n">
        <v>1</v>
      </c>
      <c r="E69" t="n">
        <v>1</v>
      </c>
      <c r="I69" s="88" t="n">
        <v>45920.99930555555</v>
      </c>
      <c r="J69" s="87" t="n">
        <v>46201</v>
      </c>
      <c r="K69" s="87" t="n">
        <v>46204</v>
      </c>
      <c r="L69" s="88" t="n">
        <v>45934.99930555555</v>
      </c>
      <c r="M69" t="n">
        <v>0</v>
      </c>
      <c r="N69" t="inlineStr">
        <is>
          <t>Outcomes Not Met: 3.4 Project</t>
        </is>
      </c>
      <c r="O69" t="inlineStr">
        <is>
          <t xml:space="preserve">This student did not meet the outcomes of this assignment. Send a message to this student offering some form of help so he/she can be more successful on this assignment and resubmit. </t>
        </is>
      </c>
    </row>
    <row r="70">
      <c r="A70" t="inlineStr">
        <is>
          <t>CSEPC110M</t>
        </is>
      </c>
      <c r="B70" t="inlineStr">
        <is>
          <t>Grader-Issued 0</t>
        </is>
      </c>
      <c r="C70" t="inlineStr">
        <is>
          <t>4.4 Project: Word Puzzle</t>
        </is>
      </c>
      <c r="D70" t="n">
        <v>1</v>
      </c>
      <c r="E70" t="n">
        <v>1</v>
      </c>
      <c r="I70" s="88" t="n">
        <v>45927.99930555555</v>
      </c>
      <c r="J70" s="87" t="n">
        <v>46201</v>
      </c>
      <c r="K70" s="87" t="n">
        <v>46204</v>
      </c>
      <c r="L70" s="88" t="n">
        <v>45941.99930555555</v>
      </c>
      <c r="M70" t="n">
        <v>0</v>
      </c>
      <c r="N70" t="inlineStr">
        <is>
          <t>Outcomes Not Met: 4.4 Project</t>
        </is>
      </c>
      <c r="O70" t="inlineStr">
        <is>
          <t xml:space="preserve">This student did not meet the outcomes of this assignment. Send a message to this student offering some form of help so he/she can be more successful on this assignment and resubmit. </t>
        </is>
      </c>
    </row>
    <row r="71">
      <c r="A71" t="inlineStr">
        <is>
          <t>CSEPC110M</t>
        </is>
      </c>
      <c r="B71" t="inlineStr">
        <is>
          <t>Grader-Issued 0</t>
        </is>
      </c>
      <c r="C71" t="inlineStr">
        <is>
          <t>5.4 Project: Shopping Cart</t>
        </is>
      </c>
      <c r="D71" t="n">
        <v>1</v>
      </c>
      <c r="E71" t="n">
        <v>1</v>
      </c>
      <c r="I71" s="88" t="n">
        <v>45934.99930555555</v>
      </c>
      <c r="J71" s="87" t="n">
        <v>46201</v>
      </c>
      <c r="K71" s="87" t="n">
        <v>46204</v>
      </c>
      <c r="L71" s="88" t="n">
        <v>45948.99930555555</v>
      </c>
      <c r="M71" t="n">
        <v>0</v>
      </c>
      <c r="N71" t="inlineStr">
        <is>
          <t>Outcomes Not Met: 5.4 Project</t>
        </is>
      </c>
      <c r="O71" t="inlineStr">
        <is>
          <t xml:space="preserve">This student did not meet the outcomes of this assignment. Send a message to this student offering some form of help so he/she can be more successful on this assignment and resubmit. </t>
        </is>
      </c>
    </row>
    <row r="72">
      <c r="A72" t="inlineStr">
        <is>
          <t>CSEPC110M</t>
        </is>
      </c>
      <c r="B72" t="inlineStr">
        <is>
          <t>Grader-Issued 0</t>
        </is>
      </c>
      <c r="C72" t="inlineStr">
        <is>
          <t>A1.4 Project: Data Analysis</t>
        </is>
      </c>
      <c r="D72" t="n">
        <v>1</v>
      </c>
      <c r="E72" t="n">
        <v>1</v>
      </c>
      <c r="I72" s="88" t="n">
        <v>45941.99930555555</v>
      </c>
      <c r="J72" s="87" t="n">
        <v>46201</v>
      </c>
      <c r="K72" s="87" t="n">
        <v>46204</v>
      </c>
      <c r="L72" s="88" t="n">
        <v>45955.99930555555</v>
      </c>
      <c r="M72" t="n">
        <v>0</v>
      </c>
      <c r="N72" t="inlineStr">
        <is>
          <t>Outcomes Not Met: A1.4 Project</t>
        </is>
      </c>
      <c r="O72" t="inlineStr">
        <is>
          <t xml:space="preserve">This student did not meet the outcomes of this assignment. Send a message to this student offering some form of help so he/she can be more successful on this assignment and resubmit. </t>
        </is>
      </c>
    </row>
    <row r="73">
      <c r="A73" t="inlineStr">
        <is>
          <t>CSEPC110M</t>
        </is>
      </c>
      <c r="B73" t="inlineStr">
        <is>
          <t>Grader-Issued 0</t>
        </is>
      </c>
      <c r="C73" t="inlineStr">
        <is>
          <t>A2.4 Project: Windchill</t>
        </is>
      </c>
      <c r="D73" t="n">
        <v>1</v>
      </c>
      <c r="E73" t="n">
        <v>1</v>
      </c>
      <c r="I73" s="88" t="n">
        <v>45945.99930555555</v>
      </c>
      <c r="J73" s="87" t="n">
        <v>46201</v>
      </c>
      <c r="K73" s="87" t="n">
        <v>46204</v>
      </c>
      <c r="L73" s="88" t="n">
        <v>45959.99930555555</v>
      </c>
      <c r="M73" t="n">
        <v>0</v>
      </c>
      <c r="N73" t="inlineStr">
        <is>
          <t>Outcomes Not Met: A2.4 Project</t>
        </is>
      </c>
      <c r="O73" t="inlineStr">
        <is>
          <t xml:space="preserve">This student did not meet the outcomes of this assignment. Send a message to this student offering some form of help so he/she can be more successful on this assignment and resubmit. </t>
        </is>
      </c>
    </row>
    <row r="74">
      <c r="A74" t="inlineStr">
        <is>
          <t>CSEPC110M</t>
        </is>
      </c>
      <c r="B74" t="inlineStr">
        <is>
          <t>High Performance</t>
        </is>
      </c>
      <c r="C74" t="inlineStr">
        <is>
          <t>1.4 Project: Clever Stories</t>
        </is>
      </c>
      <c r="D74" t="n">
        <v>1</v>
      </c>
      <c r="E74" t="n">
        <v>1</v>
      </c>
      <c r="F74" t="n">
        <v>100</v>
      </c>
      <c r="G74" t="n">
        <v>1</v>
      </c>
      <c r="I74" s="88" t="n">
        <v>45906.99930555555</v>
      </c>
      <c r="J74" s="87" t="n">
        <v>46201</v>
      </c>
      <c r="K74" s="87" t="n">
        <v>46204</v>
      </c>
      <c r="L74" s="88" t="n">
        <v>45920.99930555555</v>
      </c>
      <c r="M74" t="n">
        <v>100</v>
      </c>
      <c r="N74" t="inlineStr">
        <is>
          <t>High-Performance: 1.4 Project</t>
        </is>
      </c>
      <c r="O74" t="inlineStr">
        <is>
          <t>This student met the outcomes of this assignment.  Send a message of praise and encouragement for effort and good performance on this assignment.</t>
        </is>
      </c>
    </row>
    <row r="75">
      <c r="A75" t="inlineStr">
        <is>
          <t>CSEPC110M</t>
        </is>
      </c>
      <c r="B75" t="inlineStr">
        <is>
          <t>High Performance</t>
        </is>
      </c>
      <c r="C75" t="inlineStr">
        <is>
          <t>2.4 Project: Meal Price Calculator</t>
        </is>
      </c>
      <c r="D75" t="n">
        <v>1</v>
      </c>
      <c r="E75" t="n">
        <v>1</v>
      </c>
      <c r="F75" t="n">
        <v>100</v>
      </c>
      <c r="G75" t="n">
        <v>1</v>
      </c>
      <c r="I75" s="88" t="n">
        <v>45913.99930555555</v>
      </c>
      <c r="J75" s="87" t="n">
        <v>46201</v>
      </c>
      <c r="K75" s="87" t="n">
        <v>46204</v>
      </c>
      <c r="L75" s="88" t="n">
        <v>45927.99930555555</v>
      </c>
      <c r="M75" t="n">
        <v>100</v>
      </c>
      <c r="N75" t="inlineStr">
        <is>
          <t>High-Performance: 2.4 Project</t>
        </is>
      </c>
      <c r="O75" t="inlineStr">
        <is>
          <t>This student met the outcomes of this assignment.  Send a message of praise and encouragement for effort and good performance on this assignment.</t>
        </is>
      </c>
    </row>
    <row r="76">
      <c r="A76" t="inlineStr">
        <is>
          <t>CSEPC110M</t>
        </is>
      </c>
      <c r="B76" t="inlineStr">
        <is>
          <t>High Performance</t>
        </is>
      </c>
      <c r="C76" t="inlineStr">
        <is>
          <t>3.4 Project: Adventure Game</t>
        </is>
      </c>
      <c r="D76" t="n">
        <v>1</v>
      </c>
      <c r="E76" t="n">
        <v>1</v>
      </c>
      <c r="F76" t="n">
        <v>100</v>
      </c>
      <c r="G76" t="n">
        <v>1</v>
      </c>
      <c r="I76" s="88" t="n">
        <v>45920.99930555555</v>
      </c>
      <c r="J76" s="87" t="n">
        <v>46201</v>
      </c>
      <c r="K76" s="87" t="n">
        <v>46204</v>
      </c>
      <c r="L76" s="88" t="n">
        <v>45934.99930555555</v>
      </c>
      <c r="M76" t="n">
        <v>100</v>
      </c>
      <c r="N76" t="inlineStr">
        <is>
          <t>High-Performance: 3.4 Project</t>
        </is>
      </c>
      <c r="O76" t="inlineStr">
        <is>
          <t>This student met the outcomes of this assignment.  Send a message of praise and encouragement for effort and good performance on this assignment.</t>
        </is>
      </c>
    </row>
    <row r="77">
      <c r="A77" t="inlineStr">
        <is>
          <t>CSEPC110M</t>
        </is>
      </c>
      <c r="B77" t="inlineStr">
        <is>
          <t>High Performance</t>
        </is>
      </c>
      <c r="C77" t="inlineStr">
        <is>
          <t>4.4 Project: Word Puzzle</t>
        </is>
      </c>
      <c r="D77" t="n">
        <v>1</v>
      </c>
      <c r="E77" t="n">
        <v>1</v>
      </c>
      <c r="F77" t="n">
        <v>100</v>
      </c>
      <c r="G77" t="n">
        <v>1</v>
      </c>
      <c r="I77" s="88" t="n">
        <v>45927.99930555555</v>
      </c>
      <c r="J77" s="87" t="n">
        <v>46201</v>
      </c>
      <c r="K77" s="87" t="n">
        <v>46204</v>
      </c>
      <c r="L77" s="88" t="n">
        <v>45941.99930555555</v>
      </c>
      <c r="M77" t="n">
        <v>100</v>
      </c>
      <c r="N77" t="inlineStr">
        <is>
          <t>High-Performance: 4.4 Project</t>
        </is>
      </c>
      <c r="O77" t="inlineStr">
        <is>
          <t>This student met the outcomes of this assignment.  Send a message of praise and encouragement for effort and good performance on this assignment.</t>
        </is>
      </c>
    </row>
    <row r="78">
      <c r="A78" t="inlineStr">
        <is>
          <t>CSEPC110M</t>
        </is>
      </c>
      <c r="B78" t="inlineStr">
        <is>
          <t>High Performance</t>
        </is>
      </c>
      <c r="C78" t="inlineStr">
        <is>
          <t>5.4 Project: Shopping Cart</t>
        </is>
      </c>
      <c r="D78" t="n">
        <v>1</v>
      </c>
      <c r="E78" t="n">
        <v>1</v>
      </c>
      <c r="F78" t="n">
        <v>100</v>
      </c>
      <c r="G78" t="n">
        <v>1</v>
      </c>
      <c r="I78" s="88" t="n">
        <v>45934.99930555555</v>
      </c>
      <c r="J78" s="87" t="n">
        <v>46201</v>
      </c>
      <c r="K78" s="87" t="n">
        <v>46204</v>
      </c>
      <c r="L78" s="88" t="n">
        <v>45948.99930555555</v>
      </c>
      <c r="M78" t="n">
        <v>100</v>
      </c>
      <c r="N78" t="inlineStr">
        <is>
          <t>High-Performance: 5.4 Project</t>
        </is>
      </c>
      <c r="O78" t="inlineStr">
        <is>
          <t>This student met the outcomes of this assignment.  Send a message of praise and encouragement for effort and good performance on this assignment.</t>
        </is>
      </c>
    </row>
    <row r="79">
      <c r="A79" t="inlineStr">
        <is>
          <t>CSEPC110M</t>
        </is>
      </c>
      <c r="B79" t="inlineStr">
        <is>
          <t>High Performance</t>
        </is>
      </c>
      <c r="C79" t="inlineStr">
        <is>
          <t>A1.4 Project: Data Analysis</t>
        </is>
      </c>
      <c r="D79" t="n">
        <v>1</v>
      </c>
      <c r="E79" t="n">
        <v>1</v>
      </c>
      <c r="F79" t="n">
        <v>100</v>
      </c>
      <c r="G79" t="n">
        <v>1</v>
      </c>
      <c r="I79" s="88" t="n">
        <v>45941.99930555555</v>
      </c>
      <c r="J79" s="87" t="n">
        <v>46201</v>
      </c>
      <c r="K79" s="87" t="n">
        <v>46204</v>
      </c>
      <c r="L79" s="88" t="n">
        <v>45955.99930555555</v>
      </c>
      <c r="M79" t="n">
        <v>100</v>
      </c>
      <c r="N79" t="inlineStr">
        <is>
          <t>High-Performance: A1.4 Project</t>
        </is>
      </c>
      <c r="O79" t="inlineStr">
        <is>
          <t>This student did the extra work to meet the outcomes of this advanced assignment.  Send a message of praise and encouragement for effort and good performance on this assignment.</t>
        </is>
      </c>
    </row>
    <row r="80">
      <c r="A80" t="inlineStr">
        <is>
          <t>CSEPC110M</t>
        </is>
      </c>
      <c r="B80" t="inlineStr">
        <is>
          <t>High Performance</t>
        </is>
      </c>
      <c r="C80" t="inlineStr">
        <is>
          <t>A2.4 Project: Windchill</t>
        </is>
      </c>
      <c r="D80" t="n">
        <v>1</v>
      </c>
      <c r="E80" t="n">
        <v>1</v>
      </c>
      <c r="F80" t="n">
        <v>100</v>
      </c>
      <c r="G80" t="n">
        <v>1</v>
      </c>
      <c r="I80" s="88" t="n">
        <v>45945.99930555555</v>
      </c>
      <c r="J80" s="87" t="n">
        <v>46201</v>
      </c>
      <c r="K80" s="87" t="n">
        <v>46204</v>
      </c>
      <c r="L80" s="88" t="n">
        <v>45959.99930555555</v>
      </c>
      <c r="M80" t="n">
        <v>100</v>
      </c>
      <c r="N80" t="inlineStr">
        <is>
          <t>High-Performance: A2.4 Project</t>
        </is>
      </c>
      <c r="O80" t="inlineStr">
        <is>
          <t>This student did the extra work to meet the outcomes of this advanced assignment.  Send a message of praise and encouragement for effort and good performance on this assignment.</t>
        </is>
      </c>
    </row>
    <row r="81">
      <c r="A81" t="inlineStr">
        <is>
          <t>CSEPC110M</t>
        </is>
      </c>
      <c r="B81" t="inlineStr">
        <is>
          <t>Quiz Question</t>
        </is>
      </c>
      <c r="C81" t="inlineStr">
        <is>
          <t>1.2 Code-along Activity: ID Badge Generator; Question 1: Does the program you wrote run without errors; Answer: No</t>
        </is>
      </c>
      <c r="D81" t="n">
        <v>1</v>
      </c>
      <c r="E81" t="n">
        <v>1</v>
      </c>
      <c r="I81" s="88" t="n">
        <v>45904.99930555555</v>
      </c>
      <c r="J81" s="87" t="n">
        <v>46201</v>
      </c>
      <c r="K81" s="87" t="n">
        <v>46204</v>
      </c>
      <c r="L81" s="88" t="n">
        <v>45918.99930555555</v>
      </c>
      <c r="M81" t="n">
        <v>0</v>
      </c>
      <c r="N81" t="inlineStr">
        <is>
          <t>1.2 Code-along: Program Has Errors</t>
        </is>
      </c>
      <c r="O81"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82">
      <c r="A82" t="inlineStr">
        <is>
          <t>CSEPC110M</t>
        </is>
      </c>
      <c r="B82" t="inlineStr">
        <is>
          <t>Quiz Question</t>
        </is>
      </c>
      <c r="C82" t="inlineStr">
        <is>
          <t>2.2 Code-along Activity: Areas of Shapes; ; Question 1: Does the program you wrote run without errors; Answer: No</t>
        </is>
      </c>
      <c r="D82" t="n">
        <v>1</v>
      </c>
      <c r="E82" t="n">
        <v>1</v>
      </c>
      <c r="I82" s="88" t="n">
        <v>45911.99930555555</v>
      </c>
      <c r="J82" s="87" t="n">
        <v>46201</v>
      </c>
      <c r="K82" s="87" t="n">
        <v>46204</v>
      </c>
      <c r="L82" s="88" t="n">
        <v>45925.99930555555</v>
      </c>
      <c r="M82" t="n">
        <v>0</v>
      </c>
      <c r="N82" t="inlineStr">
        <is>
          <t>2.2 Code-along: Program Has Errors</t>
        </is>
      </c>
      <c r="O82"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83">
      <c r="A83" t="inlineStr">
        <is>
          <t>CSEPC110M</t>
        </is>
      </c>
      <c r="B83" t="inlineStr">
        <is>
          <t>Quiz Question</t>
        </is>
      </c>
      <c r="C83" t="inlineStr">
        <is>
          <t>3.2 Code-along Activity: Grade Calculator Program; Question 1: Does the program you wrote run without errors; Answer: No</t>
        </is>
      </c>
      <c r="D83" t="n">
        <v>1</v>
      </c>
      <c r="E83" t="n">
        <v>1</v>
      </c>
      <c r="I83" s="88" t="n">
        <v>45918.99930555555</v>
      </c>
      <c r="J83" s="87" t="n">
        <v>46201</v>
      </c>
      <c r="K83" s="87" t="n">
        <v>46204</v>
      </c>
      <c r="L83" s="88" t="n">
        <v>45932.99930555555</v>
      </c>
      <c r="M83" t="n">
        <v>0</v>
      </c>
      <c r="N83" t="inlineStr">
        <is>
          <t>3.2 Code-along: Program Has Errors</t>
        </is>
      </c>
      <c r="O83"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84">
      <c r="A84" t="inlineStr">
        <is>
          <t>CSEPC110M</t>
        </is>
      </c>
      <c r="B84" t="inlineStr">
        <is>
          <t>Quiz Question</t>
        </is>
      </c>
      <c r="C84" t="inlineStr">
        <is>
          <t>4.2 Code-along Activity: Guess My Number Game; Question 1: Does the program you wrote run without errors; Answer: No</t>
        </is>
      </c>
      <c r="D84" t="n">
        <v>1</v>
      </c>
      <c r="E84" t="n">
        <v>1</v>
      </c>
      <c r="I84" s="88" t="n">
        <v>45925.99930555555</v>
      </c>
      <c r="J84" s="87" t="n">
        <v>46201</v>
      </c>
      <c r="K84" s="87" t="n">
        <v>46204</v>
      </c>
      <c r="L84" s="88" t="n">
        <v>45939.99930555555</v>
      </c>
      <c r="M84" t="n">
        <v>0</v>
      </c>
      <c r="N84" t="inlineStr">
        <is>
          <t>4.2 Code-along: Program Has Errors</t>
        </is>
      </c>
      <c r="O84"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85">
      <c r="A85" t="inlineStr">
        <is>
          <t>CSEPC110M</t>
        </is>
      </c>
      <c r="B85" t="inlineStr">
        <is>
          <t>Quiz Question</t>
        </is>
      </c>
      <c r="C85" t="inlineStr">
        <is>
          <t>5.2 Code-along Activity: Lists of Numbers; Question 1: Does the program you wrote run without errors; Answer: No</t>
        </is>
      </c>
      <c r="D85" t="n">
        <v>1</v>
      </c>
      <c r="E85" t="n">
        <v>1</v>
      </c>
      <c r="I85" s="88" t="n">
        <v>45932.99930555555</v>
      </c>
      <c r="J85" s="87" t="n">
        <v>46201</v>
      </c>
      <c r="K85" s="87" t="n">
        <v>46204</v>
      </c>
      <c r="L85" s="88" t="n">
        <v>45946.99930555555</v>
      </c>
      <c r="M85" t="n">
        <v>0</v>
      </c>
      <c r="N85" t="inlineStr">
        <is>
          <t>5.2 Code-along: Program Has Errors</t>
        </is>
      </c>
      <c r="O85"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86">
      <c r="A86" t="inlineStr">
        <is>
          <t>CSEPC110M</t>
        </is>
      </c>
      <c r="B86" t="inlineStr">
        <is>
          <t>Quiz Question</t>
        </is>
      </c>
      <c r="C86" t="inlineStr">
        <is>
          <t>A1.2 Code-along Activity: Human Resource System; Question 1: Does the program you wrote run without errors; Answer: No</t>
        </is>
      </c>
      <c r="D86" t="n">
        <v>1</v>
      </c>
      <c r="E86" t="n">
        <v>1</v>
      </c>
      <c r="I86" s="88" t="n">
        <v>45939.99930555555</v>
      </c>
      <c r="J86" s="87" t="n">
        <v>46201</v>
      </c>
      <c r="K86" s="87" t="n">
        <v>46204</v>
      </c>
      <c r="L86" s="88" t="n">
        <v>45953.99930555555</v>
      </c>
      <c r="M86" t="n">
        <v>0</v>
      </c>
      <c r="N86" t="inlineStr">
        <is>
          <t>A1.2 Code-along: Program Has Errors</t>
        </is>
      </c>
      <c r="O86"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87">
      <c r="A87" t="inlineStr">
        <is>
          <t>CSEPC110M</t>
        </is>
      </c>
      <c r="B87" t="inlineStr">
        <is>
          <t>Quiz Question</t>
        </is>
      </c>
      <c r="C87" t="inlineStr">
        <is>
          <t>A2.2 Code-along Activity: Personal Budget; Question 1: Does the program you wrote run without errors; Answer: No</t>
        </is>
      </c>
      <c r="D87" t="n">
        <v>1</v>
      </c>
      <c r="E87" t="n">
        <v>1</v>
      </c>
      <c r="I87" s="88" t="n">
        <v>45944.99930555555</v>
      </c>
      <c r="J87" s="87" t="n">
        <v>46201</v>
      </c>
      <c r="K87" s="87" t="n">
        <v>46204</v>
      </c>
      <c r="L87" s="88" t="n">
        <v>45958.99930555555</v>
      </c>
      <c r="M87" t="n">
        <v>0</v>
      </c>
      <c r="N87" t="inlineStr">
        <is>
          <t>A2.2 Code-along: Program Has Errors</t>
        </is>
      </c>
      <c r="O87" t="inlineStr">
        <is>
          <t xml:space="preserve">This student indicated in their Code-along Activity that the program they created contains errors and/or is missing some of the required functionality. This could be predictive of challenges this student could encounter on their upcoming Project assignment. Check in with this student and offer help. </t>
        </is>
      </c>
    </row>
    <row r="88">
      <c r="A88" t="inlineStr">
        <is>
          <t>CSEPC110M</t>
        </is>
      </c>
      <c r="B88" t="inlineStr">
        <is>
          <t>Scheduled - Not Logged In</t>
        </is>
      </c>
      <c r="C88" t="inlineStr">
        <is>
          <t>Not Logged into Canvas</t>
        </is>
      </c>
      <c r="D88" t="n">
        <v>1</v>
      </c>
      <c r="E88" t="n">
        <v>4</v>
      </c>
      <c r="J88" s="87" t="n">
        <v>46204</v>
      </c>
      <c r="K88" s="87" t="n">
        <v>46207</v>
      </c>
      <c r="L88" s="87" t="n">
        <v>46208</v>
      </c>
      <c r="M88" t="n">
        <v>0</v>
      </c>
      <c r="N88" t="inlineStr">
        <is>
          <t>Not Logged Into Canvas</t>
        </is>
      </c>
      <c r="O88" t="inlineStr">
        <is>
          <t>Send a message (outside of Canvas) to students who have not logged into Canvas encouraging them to log in before Monday of Week 2.</t>
        </is>
      </c>
    </row>
    <row r="89">
      <c r="A89" t="inlineStr">
        <is>
          <t>CSEPC110M</t>
        </is>
      </c>
      <c r="B89" t="inlineStr">
        <is>
          <t>Missing Assignment</t>
        </is>
      </c>
      <c r="C89" t="inlineStr">
        <is>
          <t>1.1 Learning Activities: Input/Output</t>
        </is>
      </c>
      <c r="D89" t="n">
        <v>2</v>
      </c>
      <c r="E89" t="n">
        <v>1</v>
      </c>
      <c r="I89" s="88" t="n">
        <v>45904.99930555555</v>
      </c>
      <c r="J89" s="87" t="n">
        <v>46208</v>
      </c>
      <c r="K89" s="87" t="n">
        <v>46211</v>
      </c>
      <c r="L89" s="88" t="n">
        <v>45918.99930555555</v>
      </c>
      <c r="M89" t="n">
        <v>0</v>
      </c>
      <c r="N89" t="inlineStr">
        <is>
          <t>Missing 1.1 Learning Activities</t>
        </is>
      </c>
      <c r="O89" t="inlineStr">
        <is>
          <t xml:space="preserve">This student is falling behind the recommended schedule for this course. Check in with this student, offer help, and send a message of encouragement for the student to submit this assignment. </t>
        </is>
      </c>
    </row>
    <row r="90">
      <c r="A90" t="inlineStr">
        <is>
          <t>CSEPC110M</t>
        </is>
      </c>
      <c r="B90" t="inlineStr">
        <is>
          <t>Missing Assignment</t>
        </is>
      </c>
      <c r="C90" t="inlineStr">
        <is>
          <t>1.2 Code-along Activity: ID Badge Generator</t>
        </is>
      </c>
      <c r="D90" t="n">
        <v>2</v>
      </c>
      <c r="E90" t="n">
        <v>1</v>
      </c>
      <c r="I90" s="88" t="n">
        <v>45904.99930555555</v>
      </c>
      <c r="J90" s="87" t="n">
        <v>46208</v>
      </c>
      <c r="K90" s="87" t="n">
        <v>46211</v>
      </c>
      <c r="L90" s="88" t="n">
        <v>45918.99930555555</v>
      </c>
      <c r="M90" t="n">
        <v>0</v>
      </c>
      <c r="N90" t="inlineStr">
        <is>
          <t>Missing 1.2 Code-along Activity</t>
        </is>
      </c>
      <c r="O90" t="inlineStr">
        <is>
          <t xml:space="preserve">This student is falling behind the recommended schedule for this course. Check in with this student, offer help, and send a message of encouragement for the student to submit this assignment. </t>
        </is>
      </c>
    </row>
    <row r="91">
      <c r="A91" t="inlineStr">
        <is>
          <t>CSEPC110M</t>
        </is>
      </c>
      <c r="B91" t="inlineStr">
        <is>
          <t>Missing Assignment</t>
        </is>
      </c>
      <c r="C91" t="inlineStr">
        <is>
          <t>1.3.1 Quiz: Input/Output - Basic Understanding</t>
        </is>
      </c>
      <c r="D91" t="n">
        <v>2</v>
      </c>
      <c r="E91" t="n">
        <v>1</v>
      </c>
      <c r="I91" s="88" t="n">
        <v>45904.99930555555</v>
      </c>
      <c r="J91" s="87" t="n">
        <v>46208</v>
      </c>
      <c r="K91" s="87" t="n">
        <v>46211</v>
      </c>
      <c r="L91" s="88" t="n">
        <v>45918.99930555555</v>
      </c>
      <c r="M91" t="n">
        <v>0</v>
      </c>
      <c r="N91" t="inlineStr">
        <is>
          <t>Missing 1.3.1 Quiz: Input/Output</t>
        </is>
      </c>
      <c r="O91" t="inlineStr">
        <is>
          <t xml:space="preserve">This student is falling behind the recommended schedule for this course. Check in with this student, offer help, and send a message of encouragement for the student to submit this assignment. </t>
        </is>
      </c>
    </row>
    <row r="92">
      <c r="A92" t="inlineStr">
        <is>
          <t>CSEPC110M</t>
        </is>
      </c>
      <c r="B92" t="inlineStr">
        <is>
          <t>Missing Assignment</t>
        </is>
      </c>
      <c r="C92" t="inlineStr">
        <is>
          <t>1.3.2 Quiz: Input/Output - Application and Reasoning</t>
        </is>
      </c>
      <c r="D92" t="n">
        <v>2</v>
      </c>
      <c r="E92" t="n">
        <v>1</v>
      </c>
      <c r="I92" s="88" t="n">
        <v>45904.99930555555</v>
      </c>
      <c r="J92" s="87" t="n">
        <v>46208</v>
      </c>
      <c r="K92" s="87" t="n">
        <v>46211</v>
      </c>
      <c r="L92" s="88" t="n">
        <v>45918.99930555555</v>
      </c>
      <c r="M92" t="n">
        <v>0</v>
      </c>
      <c r="N92" t="inlineStr">
        <is>
          <t>Missing 1.3.2 Quiz: Input/Output</t>
        </is>
      </c>
      <c r="O92" t="inlineStr">
        <is>
          <t xml:space="preserve">This student is falling behind the recommended schedule for this course. Check in with this student, offer help, and send a message of encouragement for the student to submit this assignment. </t>
        </is>
      </c>
    </row>
    <row r="93">
      <c r="A93" t="inlineStr">
        <is>
          <t>CSEPC110M</t>
        </is>
      </c>
      <c r="B93" t="inlineStr">
        <is>
          <t>Missing Assignment</t>
        </is>
      </c>
      <c r="C93" t="inlineStr">
        <is>
          <t>1.4 Project: Clever Stories</t>
        </is>
      </c>
      <c r="D93" t="n">
        <v>2</v>
      </c>
      <c r="E93" t="n">
        <v>1</v>
      </c>
      <c r="I93" s="88" t="n">
        <v>45906.99930555555</v>
      </c>
      <c r="J93" s="87" t="n">
        <v>46208</v>
      </c>
      <c r="K93" s="87" t="n">
        <v>46211</v>
      </c>
      <c r="L93" s="88" t="n">
        <v>45920.99930555555</v>
      </c>
      <c r="M93" t="n">
        <v>0</v>
      </c>
      <c r="N93" t="inlineStr">
        <is>
          <t>Missing 1.4 Project: Clever Stories</t>
        </is>
      </c>
      <c r="O93" t="inlineStr">
        <is>
          <t xml:space="preserve">This student is falling behind the recommended schedule for this course. Check in with this student, offer help, and send a message of encouragement for the student to submit this assignment. </t>
        </is>
      </c>
    </row>
    <row r="94">
      <c r="A94" t="inlineStr">
        <is>
          <t>CSEPC110M</t>
        </is>
      </c>
      <c r="B94" t="inlineStr">
        <is>
          <t>Missing Assignment</t>
        </is>
      </c>
      <c r="C94" t="inlineStr">
        <is>
          <t>2.1 Learning Activities: Variables and Expressions</t>
        </is>
      </c>
      <c r="D94" t="n">
        <v>3</v>
      </c>
      <c r="E94" t="n">
        <v>1</v>
      </c>
      <c r="I94" s="88" t="n">
        <v>45911.99930555555</v>
      </c>
      <c r="J94" s="87" t="n">
        <v>46215</v>
      </c>
      <c r="K94" s="87" t="n">
        <v>46218</v>
      </c>
      <c r="L94" s="88" t="n">
        <v>45925.99930555555</v>
      </c>
      <c r="M94" t="n">
        <v>0</v>
      </c>
      <c r="N94" t="inlineStr">
        <is>
          <t>Missing 2.1 Learning Activities</t>
        </is>
      </c>
      <c r="O94" t="inlineStr">
        <is>
          <t xml:space="preserve">This student is falling behind the recommended schedule for this course. Check in with this student, offer help, and send a message of encouragement for the student to submit this assignment. </t>
        </is>
      </c>
    </row>
    <row r="95">
      <c r="A95" t="inlineStr">
        <is>
          <t>CSEPC110M</t>
        </is>
      </c>
      <c r="B95" t="inlineStr">
        <is>
          <t>Missing Assignment</t>
        </is>
      </c>
      <c r="C95" t="inlineStr">
        <is>
          <t>2.2 Code-along Activity: Areas of Shapes</t>
        </is>
      </c>
      <c r="D95" t="n">
        <v>3</v>
      </c>
      <c r="E95" t="n">
        <v>1</v>
      </c>
      <c r="I95" s="88" t="n">
        <v>45911.99930555555</v>
      </c>
      <c r="J95" s="87" t="n">
        <v>46215</v>
      </c>
      <c r="K95" s="87" t="n">
        <v>46218</v>
      </c>
      <c r="L95" s="88" t="n">
        <v>45925.99930555555</v>
      </c>
      <c r="M95" t="n">
        <v>0</v>
      </c>
      <c r="N95" t="inlineStr">
        <is>
          <t>Missing 2.2 Code-along Activity</t>
        </is>
      </c>
      <c r="O95" t="inlineStr">
        <is>
          <t xml:space="preserve">This student is falling behind the recommended schedule for this course. Check in with this student, offer help, and send a message of encouragement for the student to submit this assignment. </t>
        </is>
      </c>
    </row>
    <row r="96">
      <c r="A96" t="inlineStr">
        <is>
          <t>CSEPC110M</t>
        </is>
      </c>
      <c r="B96" t="inlineStr">
        <is>
          <t>Missing Assignment</t>
        </is>
      </c>
      <c r="C96" t="inlineStr">
        <is>
          <t>2.3.1 Quiz: Variables and Expressions - Basic Understanding</t>
        </is>
      </c>
      <c r="D96" t="n">
        <v>3</v>
      </c>
      <c r="E96" t="n">
        <v>1</v>
      </c>
      <c r="I96" s="88" t="n">
        <v>45911.99930555555</v>
      </c>
      <c r="J96" s="87" t="n">
        <v>46215</v>
      </c>
      <c r="K96" s="87" t="n">
        <v>46218</v>
      </c>
      <c r="L96" s="88" t="n">
        <v>45925.99930555555</v>
      </c>
      <c r="M96" t="n">
        <v>0</v>
      </c>
      <c r="N96" t="inlineStr">
        <is>
          <t>Missing 2.3.1 Quiz: Variables and Expressions</t>
        </is>
      </c>
      <c r="O96" t="inlineStr">
        <is>
          <t xml:space="preserve">This student is falling behind the recommended schedule for this course. Check in with this student, offer help, and send a message of encouragement for the student to submit this assignment. </t>
        </is>
      </c>
    </row>
    <row r="97">
      <c r="A97" t="inlineStr">
        <is>
          <t>CSEPC110M</t>
        </is>
      </c>
      <c r="B97" t="inlineStr">
        <is>
          <t>Missing Assignment</t>
        </is>
      </c>
      <c r="C97" t="inlineStr">
        <is>
          <t>2.3.2 Quiz: Variables and Expressions - Application and Reasoning</t>
        </is>
      </c>
      <c r="D97" t="n">
        <v>3</v>
      </c>
      <c r="E97" t="n">
        <v>1</v>
      </c>
      <c r="I97" s="88" t="n">
        <v>45911.99930555555</v>
      </c>
      <c r="J97" s="87" t="n">
        <v>46215</v>
      </c>
      <c r="K97" s="87" t="n">
        <v>46218</v>
      </c>
      <c r="L97" s="88" t="n">
        <v>45925.99930555555</v>
      </c>
      <c r="M97" t="n">
        <v>0</v>
      </c>
      <c r="N97" t="inlineStr">
        <is>
          <t>Missing 2.3.2 Quiz: Variables and Expressions</t>
        </is>
      </c>
      <c r="O97" t="inlineStr">
        <is>
          <t xml:space="preserve">This student is falling behind the recommended schedule for this course. Check in with this student, offer help, and send a message of encouragement for the student to submit this assignment. </t>
        </is>
      </c>
    </row>
    <row r="98">
      <c r="A98" t="inlineStr">
        <is>
          <t>CSEPC110M</t>
        </is>
      </c>
      <c r="B98" t="inlineStr">
        <is>
          <t>Missing Assignment</t>
        </is>
      </c>
      <c r="C98" t="inlineStr">
        <is>
          <t>2.4 Project: Meal Price Calculator</t>
        </is>
      </c>
      <c r="D98" t="n">
        <v>3</v>
      </c>
      <c r="E98" t="n">
        <v>1</v>
      </c>
      <c r="I98" s="88" t="n">
        <v>45913.99930555555</v>
      </c>
      <c r="J98" s="87" t="n">
        <v>46215</v>
      </c>
      <c r="K98" s="87" t="n">
        <v>46218</v>
      </c>
      <c r="L98" s="88" t="n">
        <v>45927.99930555555</v>
      </c>
      <c r="M98" t="n">
        <v>0</v>
      </c>
      <c r="N98" t="inlineStr">
        <is>
          <t>Missing 2.4 Project: Meal Price Calculator</t>
        </is>
      </c>
      <c r="O98" t="inlineStr">
        <is>
          <t xml:space="preserve">This student is falling behind the recommended schedule for this course. Check in with this student, offer help, and send a message of encouragement for the student to submit this assignment. </t>
        </is>
      </c>
    </row>
    <row r="99">
      <c r="A99" t="inlineStr">
        <is>
          <t>CSEPC110M</t>
        </is>
      </c>
      <c r="B99" t="inlineStr">
        <is>
          <t>Missing Assignment</t>
        </is>
      </c>
      <c r="C99" t="inlineStr">
        <is>
          <t>3.1 Learning Activities: Decisions</t>
        </is>
      </c>
      <c r="D99" t="n">
        <v>4</v>
      </c>
      <c r="E99" t="n">
        <v>1</v>
      </c>
      <c r="I99" s="88" t="n">
        <v>45918.99930555555</v>
      </c>
      <c r="J99" s="87" t="n">
        <v>46222</v>
      </c>
      <c r="K99" s="87" t="n">
        <v>46225</v>
      </c>
      <c r="L99" s="88" t="n">
        <v>45932.99930555555</v>
      </c>
      <c r="M99" t="n">
        <v>0</v>
      </c>
      <c r="N99" t="inlineStr">
        <is>
          <t>Missing 3.1 Learning Activities</t>
        </is>
      </c>
      <c r="O99" t="inlineStr">
        <is>
          <t xml:space="preserve">This student is falling behind the recommended schedule for this course. Check in with this student, offer help, and send a message of encouragement for the student to submit this assignment. </t>
        </is>
      </c>
    </row>
    <row r="100">
      <c r="A100" t="inlineStr">
        <is>
          <t>CSEPC110M</t>
        </is>
      </c>
      <c r="B100" t="inlineStr">
        <is>
          <t>Missing Assignment</t>
        </is>
      </c>
      <c r="C100" t="inlineStr">
        <is>
          <t>3.2 Code-along Activity: Grade Calculator Program</t>
        </is>
      </c>
      <c r="D100" t="n">
        <v>4</v>
      </c>
      <c r="E100" t="n">
        <v>1</v>
      </c>
      <c r="I100" s="88" t="n">
        <v>45918.99930555555</v>
      </c>
      <c r="J100" s="87" t="n">
        <v>46222</v>
      </c>
      <c r="K100" s="87" t="n">
        <v>46225</v>
      </c>
      <c r="L100" s="88" t="n">
        <v>45932.99930555555</v>
      </c>
      <c r="M100" t="n">
        <v>0</v>
      </c>
      <c r="N100" t="inlineStr">
        <is>
          <t>Missing 3.2 Code-along Activity</t>
        </is>
      </c>
      <c r="O100" t="inlineStr">
        <is>
          <t xml:space="preserve">This student is falling behind the recommended schedule for this course. Check in with this student, offer help, and send a message of encouragement for the student to submit this assignment. </t>
        </is>
      </c>
    </row>
    <row r="101">
      <c r="A101" t="inlineStr">
        <is>
          <t>CSEPC110M</t>
        </is>
      </c>
      <c r="B101" t="inlineStr">
        <is>
          <t>Missing Assignment</t>
        </is>
      </c>
      <c r="C101" t="inlineStr">
        <is>
          <t>3.3.1 Quiz: Decisions - Basic Understanding</t>
        </is>
      </c>
      <c r="D101" t="n">
        <v>4</v>
      </c>
      <c r="E101" t="n">
        <v>1</v>
      </c>
      <c r="I101" s="88" t="n">
        <v>45918.99930555555</v>
      </c>
      <c r="J101" s="87" t="n">
        <v>46222</v>
      </c>
      <c r="K101" s="87" t="n">
        <v>46225</v>
      </c>
      <c r="L101" s="88" t="n">
        <v>45932.99930555555</v>
      </c>
      <c r="M101" t="n">
        <v>0</v>
      </c>
      <c r="N101" t="inlineStr">
        <is>
          <t>Missing 3.3.1 Quiz: Decisions</t>
        </is>
      </c>
      <c r="O101" t="inlineStr">
        <is>
          <t xml:space="preserve">This student is falling behind the recommended schedule for this course. Check in with this student, offer help, and send a message of encouragement for the student to submit this assignment. </t>
        </is>
      </c>
    </row>
    <row r="102">
      <c r="A102" t="inlineStr">
        <is>
          <t>CSEPC110M</t>
        </is>
      </c>
      <c r="B102" t="inlineStr">
        <is>
          <t>Missing Assignment</t>
        </is>
      </c>
      <c r="C102" t="inlineStr">
        <is>
          <t>3.3.2 Quiz: Decisions - Application and Reasoning</t>
        </is>
      </c>
      <c r="D102" t="n">
        <v>4</v>
      </c>
      <c r="E102" t="n">
        <v>1</v>
      </c>
      <c r="I102" s="88" t="n">
        <v>45918.99930555555</v>
      </c>
      <c r="J102" s="87" t="n">
        <v>46222</v>
      </c>
      <c r="K102" s="87" t="n">
        <v>46225</v>
      </c>
      <c r="L102" s="88" t="n">
        <v>45932.99930555555</v>
      </c>
      <c r="M102" t="n">
        <v>0</v>
      </c>
      <c r="N102" t="inlineStr">
        <is>
          <t>Missing 3.3.2 Quiz: Decisions</t>
        </is>
      </c>
      <c r="O102" t="inlineStr">
        <is>
          <t xml:space="preserve">This student is falling behind the recommended schedule for this course. Check in with this student, offer help, and send a message of encouragement for the student to submit this assignment. </t>
        </is>
      </c>
    </row>
    <row r="103">
      <c r="A103" t="inlineStr">
        <is>
          <t>CSEPC110M</t>
        </is>
      </c>
      <c r="B103" t="inlineStr">
        <is>
          <t>Missing Assignment</t>
        </is>
      </c>
      <c r="C103" t="inlineStr">
        <is>
          <t>3.4 Project: Adventure Game</t>
        </is>
      </c>
      <c r="D103" t="n">
        <v>4</v>
      </c>
      <c r="E103" t="n">
        <v>1</v>
      </c>
      <c r="I103" s="88" t="n">
        <v>45920.99930555555</v>
      </c>
      <c r="J103" s="87" t="n">
        <v>46222</v>
      </c>
      <c r="K103" s="87" t="n">
        <v>46225</v>
      </c>
      <c r="L103" s="88" t="n">
        <v>45934.99930555555</v>
      </c>
      <c r="M103" t="n">
        <v>0</v>
      </c>
      <c r="N103" t="inlineStr">
        <is>
          <t>Missing 3.4 Project: Adventure Game</t>
        </is>
      </c>
      <c r="O103" t="inlineStr">
        <is>
          <t xml:space="preserve">This student is falling behind the recommended schedule for this course. Check in with this student, offer help, and send a message of encouragement for the student to submit this assignment. </t>
        </is>
      </c>
    </row>
    <row r="104">
      <c r="A104" t="inlineStr">
        <is>
          <t>CSEPC110M</t>
        </is>
      </c>
      <c r="B104" t="inlineStr">
        <is>
          <t>Missing Assignment</t>
        </is>
      </c>
      <c r="C104" t="inlineStr">
        <is>
          <t>4.1 Learning Activities: Loops</t>
        </is>
      </c>
      <c r="D104" t="n">
        <v>5</v>
      </c>
      <c r="E104" t="n">
        <v>1</v>
      </c>
      <c r="I104" s="88" t="n">
        <v>45925.99930555555</v>
      </c>
      <c r="J104" s="87" t="n">
        <v>46229</v>
      </c>
      <c r="K104" s="87" t="n">
        <v>46232</v>
      </c>
      <c r="L104" s="88" t="n">
        <v>45939.99930555555</v>
      </c>
      <c r="M104" t="n">
        <v>0</v>
      </c>
      <c r="N104" t="inlineStr">
        <is>
          <t>Missing 4.1 Learning Activities</t>
        </is>
      </c>
      <c r="O104" t="inlineStr">
        <is>
          <t xml:space="preserve">This student is falling behind the recommended schedule for this course. Check in with this student, offer help, and send a message of encouragement for the student to submit this assignment. </t>
        </is>
      </c>
    </row>
    <row r="105">
      <c r="A105" t="inlineStr">
        <is>
          <t>CSEPC110M</t>
        </is>
      </c>
      <c r="B105" t="inlineStr">
        <is>
          <t>Missing Assignment</t>
        </is>
      </c>
      <c r="C105" t="inlineStr">
        <is>
          <t>4.2 Code-along Activity: Guess My Number Game</t>
        </is>
      </c>
      <c r="D105" t="n">
        <v>5</v>
      </c>
      <c r="E105" t="n">
        <v>1</v>
      </c>
      <c r="I105" s="88" t="n">
        <v>45925.99930555555</v>
      </c>
      <c r="J105" s="87" t="n">
        <v>46229</v>
      </c>
      <c r="K105" s="87" t="n">
        <v>46232</v>
      </c>
      <c r="L105" s="88" t="n">
        <v>45939.99930555555</v>
      </c>
      <c r="M105" t="n">
        <v>0</v>
      </c>
      <c r="N105" t="inlineStr">
        <is>
          <t>Missing 4.2 Code-along Activity</t>
        </is>
      </c>
      <c r="O105" t="inlineStr">
        <is>
          <t xml:space="preserve">This student is falling behind the recommended schedule for this course. Check in with this student, offer help, and send a message of encouragement for the student to submit this assignment. </t>
        </is>
      </c>
    </row>
    <row r="106">
      <c r="A106" t="inlineStr">
        <is>
          <t>CSEPC110M</t>
        </is>
      </c>
      <c r="B106" t="inlineStr">
        <is>
          <t>Missing Assignment</t>
        </is>
      </c>
      <c r="C106" t="inlineStr">
        <is>
          <t>4.3.1 Quiz: Loops - Basic Understanding</t>
        </is>
      </c>
      <c r="D106" t="n">
        <v>5</v>
      </c>
      <c r="E106" t="n">
        <v>1</v>
      </c>
      <c r="I106" s="88" t="n">
        <v>45925.99930555555</v>
      </c>
      <c r="J106" s="87" t="n">
        <v>46229</v>
      </c>
      <c r="K106" s="87" t="n">
        <v>46232</v>
      </c>
      <c r="L106" s="88" t="n">
        <v>45939.99930555555</v>
      </c>
      <c r="M106" t="n">
        <v>0</v>
      </c>
      <c r="N106" t="inlineStr">
        <is>
          <t>Missing 4.3.1 Quiz: Loops</t>
        </is>
      </c>
      <c r="O106" t="inlineStr">
        <is>
          <t xml:space="preserve">This student is falling behind the recommended schedule for this course. Check in with this student, offer help, and send a message of encouragement for the student to submit this assignment. </t>
        </is>
      </c>
    </row>
    <row r="107">
      <c r="A107" t="inlineStr">
        <is>
          <t>CSEPC110M</t>
        </is>
      </c>
      <c r="B107" t="inlineStr">
        <is>
          <t>Missing Assignment</t>
        </is>
      </c>
      <c r="C107" t="inlineStr">
        <is>
          <t>4.3.2 Quiz: Loops - Application and Reasoning</t>
        </is>
      </c>
      <c r="D107" t="n">
        <v>5</v>
      </c>
      <c r="E107" t="n">
        <v>1</v>
      </c>
      <c r="I107" s="88" t="n">
        <v>45925.99930555555</v>
      </c>
      <c r="J107" s="87" t="n">
        <v>46229</v>
      </c>
      <c r="K107" s="87" t="n">
        <v>46232</v>
      </c>
      <c r="L107" s="88" t="n">
        <v>45939.99930555555</v>
      </c>
      <c r="M107" t="n">
        <v>0</v>
      </c>
      <c r="N107" t="inlineStr">
        <is>
          <t>Missing 4.3.2 Quiz: Loops</t>
        </is>
      </c>
      <c r="O107" t="inlineStr">
        <is>
          <t xml:space="preserve">This student is falling behind the recommended schedule for this course. Check in with this student, offer help, and send a message of encouragement for the student to submit this assignment. </t>
        </is>
      </c>
    </row>
    <row r="108">
      <c r="A108" t="inlineStr">
        <is>
          <t>CSEPC110M</t>
        </is>
      </c>
      <c r="B108" t="inlineStr">
        <is>
          <t>Missing Assignment</t>
        </is>
      </c>
      <c r="C108" t="inlineStr">
        <is>
          <t>4.4 Project: Word Puzzle</t>
        </is>
      </c>
      <c r="D108" t="n">
        <v>5</v>
      </c>
      <c r="E108" t="n">
        <v>1</v>
      </c>
      <c r="I108" s="88" t="n">
        <v>45927.99930555555</v>
      </c>
      <c r="J108" s="87" t="n">
        <v>46229</v>
      </c>
      <c r="K108" s="87" t="n">
        <v>46232</v>
      </c>
      <c r="L108" s="88" t="n">
        <v>45941.99930555555</v>
      </c>
      <c r="M108" t="n">
        <v>0</v>
      </c>
      <c r="N108" t="inlineStr">
        <is>
          <t>Missing 4.4 Project: Word Puzzle</t>
        </is>
      </c>
      <c r="O108" t="inlineStr">
        <is>
          <t xml:space="preserve">This student is falling behind the recommended schedule for this course. Check in with this student, offer help, and send a message of encouragement for the student to submit this assignment. </t>
        </is>
      </c>
    </row>
    <row r="109">
      <c r="A109" t="inlineStr">
        <is>
          <t>CSEPC110M</t>
        </is>
      </c>
      <c r="B109" t="inlineStr">
        <is>
          <t>Missing Assignment</t>
        </is>
      </c>
      <c r="C109" t="inlineStr">
        <is>
          <t>5.1 Learning Activities: Lists</t>
        </is>
      </c>
      <c r="D109" t="n">
        <v>6</v>
      </c>
      <c r="E109" t="n">
        <v>1</v>
      </c>
      <c r="I109" s="88" t="n">
        <v>45932.99930555555</v>
      </c>
      <c r="J109" s="87" t="n">
        <v>46236</v>
      </c>
      <c r="K109" s="87" t="n">
        <v>46239</v>
      </c>
      <c r="L109" s="88" t="n">
        <v>45946.99930555555</v>
      </c>
      <c r="M109" t="n">
        <v>0</v>
      </c>
      <c r="N109" t="inlineStr">
        <is>
          <t>Missing 5.1 Learning Activities</t>
        </is>
      </c>
      <c r="O109" t="inlineStr">
        <is>
          <t xml:space="preserve">This student is falling behind the recommended schedule for this course. Check in with this student, offer help, and send a message of encouragement for the student to submit this assignment. </t>
        </is>
      </c>
    </row>
    <row r="110">
      <c r="A110" t="inlineStr">
        <is>
          <t>CSEPC110M</t>
        </is>
      </c>
      <c r="B110" t="inlineStr">
        <is>
          <t>Missing Assignment</t>
        </is>
      </c>
      <c r="C110" t="inlineStr">
        <is>
          <t>5.2 Code-along Activity: Lists of Numbers</t>
        </is>
      </c>
      <c r="D110" t="n">
        <v>6</v>
      </c>
      <c r="E110" t="n">
        <v>1</v>
      </c>
      <c r="I110" s="88" t="n">
        <v>45932.99930555555</v>
      </c>
      <c r="J110" s="87" t="n">
        <v>46236</v>
      </c>
      <c r="K110" s="87" t="n">
        <v>46239</v>
      </c>
      <c r="L110" s="88" t="n">
        <v>45946.99930555555</v>
      </c>
      <c r="M110" t="n">
        <v>0</v>
      </c>
      <c r="N110" t="inlineStr">
        <is>
          <t>Missing 5.2 Code-along Activity</t>
        </is>
      </c>
      <c r="O110" t="inlineStr">
        <is>
          <t xml:space="preserve">This student is falling behind the recommended schedule for this course. Check in with this student, offer help, and send a message of encouragement for the student to submit this assignment. </t>
        </is>
      </c>
    </row>
    <row r="111">
      <c r="A111" t="inlineStr">
        <is>
          <t>CSEPC110M</t>
        </is>
      </c>
      <c r="B111" t="inlineStr">
        <is>
          <t>Missing Assignment</t>
        </is>
      </c>
      <c r="C111" t="inlineStr">
        <is>
          <t>5.3.1 Quiz: Lists - Basic Understanding</t>
        </is>
      </c>
      <c r="D111" t="n">
        <v>6</v>
      </c>
      <c r="E111" t="n">
        <v>1</v>
      </c>
      <c r="I111" s="88" t="n">
        <v>45932.99930555555</v>
      </c>
      <c r="J111" s="87" t="n">
        <v>46236</v>
      </c>
      <c r="K111" s="87" t="n">
        <v>46239</v>
      </c>
      <c r="L111" s="88" t="n">
        <v>45946.99930555555</v>
      </c>
      <c r="M111" t="n">
        <v>0</v>
      </c>
      <c r="N111" t="inlineStr">
        <is>
          <t>Missing 5.3.1 Quiz: Lists</t>
        </is>
      </c>
      <c r="O111" t="inlineStr">
        <is>
          <t xml:space="preserve">This student is falling behind the recommended schedule for this course. Check in with this student, offer help, and send a message of encouragement for the student to submit this assignment. </t>
        </is>
      </c>
    </row>
    <row r="112">
      <c r="A112" t="inlineStr">
        <is>
          <t>CSEPC110M</t>
        </is>
      </c>
      <c r="B112" t="inlineStr">
        <is>
          <t>Missing Assignment</t>
        </is>
      </c>
      <c r="C112" t="inlineStr">
        <is>
          <t>5.3.2 Quiz: Lists - Application and Reasoning</t>
        </is>
      </c>
      <c r="D112" t="n">
        <v>6</v>
      </c>
      <c r="E112" t="n">
        <v>1</v>
      </c>
      <c r="I112" s="88" t="n">
        <v>45932.99930555555</v>
      </c>
      <c r="J112" s="87" t="n">
        <v>46236</v>
      </c>
      <c r="K112" s="87" t="n">
        <v>46239</v>
      </c>
      <c r="L112" s="88" t="n">
        <v>45946.99930555555</v>
      </c>
      <c r="M112" t="n">
        <v>0</v>
      </c>
      <c r="N112" t="inlineStr">
        <is>
          <t>Missing 5.3.2 Quiz: Lists</t>
        </is>
      </c>
      <c r="O112" t="inlineStr">
        <is>
          <t xml:space="preserve">This student is falling behind the recommended schedule for this course. Check in with this student, offer help, and send a message of encouragement for the student to submit this assignment. </t>
        </is>
      </c>
    </row>
    <row r="113">
      <c r="A113" t="inlineStr">
        <is>
          <t>CSEPC110M</t>
        </is>
      </c>
      <c r="B113" t="inlineStr">
        <is>
          <t>Missing Assignment</t>
        </is>
      </c>
      <c r="C113" t="inlineStr">
        <is>
          <t>5.4 Project: Shopping Cart</t>
        </is>
      </c>
      <c r="D113" t="n">
        <v>6</v>
      </c>
      <c r="E113" t="n">
        <v>1</v>
      </c>
      <c r="I113" s="88" t="n">
        <v>45934.99930555555</v>
      </c>
      <c r="J113" s="87" t="n">
        <v>46236</v>
      </c>
      <c r="K113" s="87" t="n">
        <v>46239</v>
      </c>
      <c r="L113" s="88" t="n">
        <v>45948.99930555555</v>
      </c>
      <c r="M113" t="n">
        <v>0</v>
      </c>
      <c r="N113" t="inlineStr">
        <is>
          <t>Missing 5.4 Project: Shopping Cart</t>
        </is>
      </c>
      <c r="O113" t="inlineStr">
        <is>
          <t xml:space="preserve">This student is falling behind the recommended schedule for this course. Check in with this student, offer help, and send a message of encouragement for the student to submit this assignment. </t>
        </is>
      </c>
    </row>
    <row r="114">
      <c r="A114" t="inlineStr">
        <is>
          <t>CSEPC110M</t>
        </is>
      </c>
      <c r="B114" t="inlineStr">
        <is>
          <t>Missing Assignment</t>
        </is>
      </c>
      <c r="C114" t="inlineStr">
        <is>
          <t>A1.1 Learning Activities: Files</t>
        </is>
      </c>
      <c r="D114" t="n">
        <v>7</v>
      </c>
      <c r="E114" t="n">
        <v>1</v>
      </c>
      <c r="I114" s="88" t="n">
        <v>45939.99930555555</v>
      </c>
      <c r="J114" s="87" t="n">
        <v>46243</v>
      </c>
      <c r="K114" s="87" t="n">
        <v>46246</v>
      </c>
      <c r="L114" s="88" t="n">
        <v>45953.99930555555</v>
      </c>
      <c r="M114" t="n">
        <v>0</v>
      </c>
      <c r="N114" t="inlineStr">
        <is>
          <t>Missing A1.1 Learning Activities</t>
        </is>
      </c>
      <c r="O114" t="inlineStr">
        <is>
          <t xml:space="preserve">This student is falling behind the recommended schedule for this course. Check in with this student, offer help, and send a message of encouragement for the student to submit this assignment. </t>
        </is>
      </c>
    </row>
    <row r="115">
      <c r="A115" t="inlineStr">
        <is>
          <t>CSEPC110M</t>
        </is>
      </c>
      <c r="B115" t="inlineStr">
        <is>
          <t>Missing Assignment</t>
        </is>
      </c>
      <c r="C115" t="inlineStr">
        <is>
          <t>A1.2 Code-along Activity: Human Resource System</t>
        </is>
      </c>
      <c r="D115" t="n">
        <v>7</v>
      </c>
      <c r="E115" t="n">
        <v>1</v>
      </c>
      <c r="I115" s="88" t="n">
        <v>45939.99930555555</v>
      </c>
      <c r="J115" s="87" t="n">
        <v>46243</v>
      </c>
      <c r="K115" s="87" t="n">
        <v>46246</v>
      </c>
      <c r="L115" s="88" t="n">
        <v>45953.99930555555</v>
      </c>
      <c r="M115" t="n">
        <v>0</v>
      </c>
      <c r="N115" t="inlineStr">
        <is>
          <t>Missing A1.2 Code-along Activity</t>
        </is>
      </c>
      <c r="O115" t="inlineStr">
        <is>
          <t xml:space="preserve">This student is falling behind the recommended schedule for this course. Check in with this student, offer help, and send a message of encouragement for the student to submit this assignment. </t>
        </is>
      </c>
    </row>
    <row r="116">
      <c r="A116" t="inlineStr">
        <is>
          <t>CSEPC110M</t>
        </is>
      </c>
      <c r="B116" t="inlineStr">
        <is>
          <t>Missing Assignment</t>
        </is>
      </c>
      <c r="C116" t="inlineStr">
        <is>
          <t>A1.3.1 Quiz: Files - Basic Understanding</t>
        </is>
      </c>
      <c r="D116" t="n">
        <v>7</v>
      </c>
      <c r="E116" t="n">
        <v>1</v>
      </c>
      <c r="I116" s="88" t="n">
        <v>45939.99930555555</v>
      </c>
      <c r="J116" s="87" t="n">
        <v>46243</v>
      </c>
      <c r="K116" s="87" t="n">
        <v>46246</v>
      </c>
      <c r="L116" s="88" t="n">
        <v>45953.99930555555</v>
      </c>
      <c r="M116" t="n">
        <v>0</v>
      </c>
      <c r="N116" t="inlineStr">
        <is>
          <t>Missing A1.3.1 Quiz: Files</t>
        </is>
      </c>
      <c r="O116" t="inlineStr">
        <is>
          <t xml:space="preserve">This student is falling behind the recommended schedule for this course. Check in with this student, offer help, and send a message of encouragement for the student to submit this assignment. </t>
        </is>
      </c>
    </row>
    <row r="117">
      <c r="A117" t="inlineStr">
        <is>
          <t>CSEPC110M</t>
        </is>
      </c>
      <c r="B117" t="inlineStr">
        <is>
          <t>Missing Assignment</t>
        </is>
      </c>
      <c r="C117" t="inlineStr">
        <is>
          <t>A1.3.2 Quiz: Files - Application and Reasoning</t>
        </is>
      </c>
      <c r="D117" t="n">
        <v>7</v>
      </c>
      <c r="E117" t="n">
        <v>1</v>
      </c>
      <c r="I117" s="88" t="n">
        <v>45939.99930555555</v>
      </c>
      <c r="J117" s="87" t="n">
        <v>46243</v>
      </c>
      <c r="K117" s="87" t="n">
        <v>46246</v>
      </c>
      <c r="L117" s="88" t="n">
        <v>45953.99930555555</v>
      </c>
      <c r="M117" t="n">
        <v>0</v>
      </c>
      <c r="N117" t="inlineStr">
        <is>
          <t>Missing A1.3.2 Quiz: Files</t>
        </is>
      </c>
      <c r="O117" t="inlineStr">
        <is>
          <t xml:space="preserve">This student is falling behind the recommended schedule for this course. Check in with this student, offer help, and send a message of encouragement for the student to submit this assignment. </t>
        </is>
      </c>
    </row>
    <row r="118">
      <c r="A118" t="inlineStr">
        <is>
          <t>CSEPC110M</t>
        </is>
      </c>
      <c r="B118" t="inlineStr">
        <is>
          <t>Missing Assignment</t>
        </is>
      </c>
      <c r="C118" t="inlineStr">
        <is>
          <t>A1.4 Project: Data Analysis</t>
        </is>
      </c>
      <c r="D118" t="n">
        <v>7</v>
      </c>
      <c r="E118" t="n">
        <v>1</v>
      </c>
      <c r="I118" s="88" t="n">
        <v>45941.99930555555</v>
      </c>
      <c r="J118" s="87" t="n">
        <v>46243</v>
      </c>
      <c r="K118" s="87" t="n">
        <v>46246</v>
      </c>
      <c r="L118" s="88" t="n">
        <v>45955.99930555555</v>
      </c>
      <c r="M118" t="n">
        <v>0</v>
      </c>
      <c r="N118" t="inlineStr">
        <is>
          <t>Missing A1.4 Project Data Analysis</t>
        </is>
      </c>
      <c r="O118" t="inlineStr">
        <is>
          <t xml:space="preserve">This student is falling behind the recommended schedule for this course. Check in with this student, offer help, and send a message of encouragement for the student to submit this assignment. </t>
        </is>
      </c>
    </row>
    <row r="119">
      <c r="A119" t="inlineStr">
        <is>
          <t>CSEPC110M</t>
        </is>
      </c>
      <c r="B119" t="inlineStr">
        <is>
          <t>Scheduled - Classwide</t>
        </is>
      </c>
      <c r="C119" t="inlineStr">
        <is>
          <t>Course Closing Reminder</t>
        </is>
      </c>
      <c r="D119" t="n">
        <v>7</v>
      </c>
      <c r="E119" t="n">
        <v>1</v>
      </c>
      <c r="J119" s="87" t="n">
        <v>46243</v>
      </c>
      <c r="K119" s="87" t="n">
        <v>46246</v>
      </c>
      <c r="L119" s="87" t="n">
        <v>46250</v>
      </c>
      <c r="M119" t="n">
        <v>0</v>
      </c>
      <c r="N119" t="inlineStr">
        <is>
          <t>Course Closing Reminder</t>
        </is>
      </c>
      <c r="O119" t="inlineStr">
        <is>
          <t xml:space="preserve">Send a message to your students, reminding them that the course is closing this week and of the due dates they must meet to get assignments in and applied to their final grade. </t>
        </is>
      </c>
    </row>
    <row r="120">
      <c r="A120" t="inlineStr">
        <is>
          <t>CSE111</t>
        </is>
      </c>
      <c r="B120" t="inlineStr">
        <is>
          <t>Grader-Issued 0</t>
        </is>
      </c>
      <c r="C120" t="inlineStr">
        <is>
          <t xml:space="preserve">W01 Project: Tire Volume </t>
        </is>
      </c>
      <c r="D120" t="n">
        <v>2</v>
      </c>
      <c r="E120" t="n">
        <v>4</v>
      </c>
      <c r="F120" t="n">
        <v>100</v>
      </c>
      <c r="H120" t="inlineStr">
        <is>
          <t>y</t>
        </is>
      </c>
      <c r="I120" s="87" t="n">
        <v>46211</v>
      </c>
      <c r="J120" s="87" t="n">
        <v>46214</v>
      </c>
      <c r="K120" s="87" t="n">
        <v>46215</v>
      </c>
      <c r="L120" t="n">
        <v>0</v>
      </c>
      <c r="M120" t="inlineStr">
        <is>
          <t xml:space="preserve">The student was given a Grader issued 0 on W01 Project Milestone: Tire Volume </t>
        </is>
      </c>
      <c r="N120" t="inlineStr">
        <is>
          <t>At Risk. Grader issued 0 on W01 Project Milestone: Tire Volume. Log into Canvas and see the grader comments. Work with the student to help resubmit.</t>
        </is>
      </c>
    </row>
    <row r="121">
      <c r="A121" t="inlineStr">
        <is>
          <t>CSE111</t>
        </is>
      </c>
      <c r="B121" t="inlineStr">
        <is>
          <t>Grader-Issued 0</t>
        </is>
      </c>
      <c r="C121" t="inlineStr">
        <is>
          <t>W02 Project: Password Strength</t>
        </is>
      </c>
      <c r="D121" t="n">
        <v>3</v>
      </c>
      <c r="E121" t="n">
        <v>4</v>
      </c>
      <c r="F121" t="n">
        <v>100</v>
      </c>
      <c r="H121" t="inlineStr">
        <is>
          <t>y</t>
        </is>
      </c>
      <c r="I121" s="87" t="n">
        <v>46218</v>
      </c>
      <c r="J121" s="87" t="n">
        <v>46221</v>
      </c>
      <c r="K121" s="87" t="n">
        <v>46222</v>
      </c>
      <c r="L121" t="n">
        <v>0</v>
      </c>
      <c r="M121" t="inlineStr">
        <is>
          <t xml:space="preserve">The student was given a Grader issued 0 on W02 Project: Password Strength </t>
        </is>
      </c>
      <c r="N121" t="inlineStr">
        <is>
          <t>At Risk. Grader issued 0 on W02 Project: Password Strength. Log into Canvas and see the grader comments. Work with the student to help resubmit.</t>
        </is>
      </c>
    </row>
    <row r="122">
      <c r="A122" t="inlineStr">
        <is>
          <t>CSE111</t>
        </is>
      </c>
      <c r="B122" t="inlineStr">
        <is>
          <t>Grader-Issued 0</t>
        </is>
      </c>
      <c r="C122" t="inlineStr">
        <is>
          <t>W03 Project: Water Pressure</t>
        </is>
      </c>
      <c r="D122" t="n">
        <v>4</v>
      </c>
      <c r="E122" t="n">
        <v>4</v>
      </c>
      <c r="F122" t="n">
        <v>100</v>
      </c>
      <c r="H122" t="inlineStr">
        <is>
          <t>y</t>
        </is>
      </c>
      <c r="I122" s="87" t="n">
        <v>46225</v>
      </c>
      <c r="J122" s="87" t="n">
        <v>46228</v>
      </c>
      <c r="K122" s="87" t="n">
        <v>46229</v>
      </c>
      <c r="L122" t="n">
        <v>0</v>
      </c>
      <c r="M122" t="inlineStr">
        <is>
          <t xml:space="preserve">The student was given a Grader issued 0 on W03 Project: Water Pressure </t>
        </is>
      </c>
      <c r="N122" t="inlineStr">
        <is>
          <t>At Risk. Grader issued 0 on W03 Project: Water Pressure. Log into Canvas and see the grader comments. Work with the student to help resubmit.</t>
        </is>
      </c>
    </row>
    <row r="123">
      <c r="A123" t="inlineStr">
        <is>
          <t>CSE111</t>
        </is>
      </c>
      <c r="B123" t="inlineStr">
        <is>
          <t>Grader-Issued 0</t>
        </is>
      </c>
      <c r="C123" t="inlineStr">
        <is>
          <t xml:space="preserve">W04 Project: Chemistry </t>
        </is>
      </c>
      <c r="D123" t="n">
        <v>5</v>
      </c>
      <c r="E123" t="n">
        <v>4</v>
      </c>
      <c r="F123" t="n">
        <v>100</v>
      </c>
      <c r="H123" t="inlineStr">
        <is>
          <t>y</t>
        </is>
      </c>
      <c r="I123" s="87" t="n">
        <v>46232</v>
      </c>
      <c r="J123" s="87" t="n">
        <v>46235</v>
      </c>
      <c r="K123" s="87" t="n">
        <v>46236</v>
      </c>
      <c r="L123" t="n">
        <v>0</v>
      </c>
      <c r="M123" t="inlineStr">
        <is>
          <t xml:space="preserve">The student was given a Grader issued 0 on W04 Project: Chemistry </t>
        </is>
      </c>
      <c r="N123" t="inlineStr">
        <is>
          <t>At Risk. Grader issued 0 on W04 Project: Chemistry. Log into Canvas and see the grader comments. Work with the student to help resubmit.</t>
        </is>
      </c>
    </row>
    <row r="124">
      <c r="A124" t="inlineStr">
        <is>
          <t>CSE111</t>
        </is>
      </c>
      <c r="B124" t="inlineStr">
        <is>
          <t>Grader-Issued 0</t>
        </is>
      </c>
      <c r="C124" t="inlineStr">
        <is>
          <t xml:space="preserve">W05 Project: Grocery Store </t>
        </is>
      </c>
      <c r="D124" t="n">
        <v>6</v>
      </c>
      <c r="E124" t="n">
        <v>4</v>
      </c>
      <c r="F124" t="n">
        <v>100</v>
      </c>
      <c r="H124" t="inlineStr">
        <is>
          <t>y</t>
        </is>
      </c>
      <c r="I124" s="87" t="n">
        <v>46239</v>
      </c>
      <c r="J124" s="87" t="n">
        <v>46242</v>
      </c>
      <c r="K124" s="87" t="n">
        <v>46243</v>
      </c>
      <c r="L124" t="n">
        <v>0</v>
      </c>
      <c r="M124" t="inlineStr">
        <is>
          <t xml:space="preserve">The student was given a Grader issued 0 on W05 Project: Grocery Store </t>
        </is>
      </c>
      <c r="N124" t="inlineStr">
        <is>
          <t>At Risk. Grader issue 0 on W05 Project: Grocery Store. Log into Canvas and see the grader comments. Work with the student to help resubmit.</t>
        </is>
      </c>
    </row>
    <row r="125">
      <c r="A125" t="inlineStr">
        <is>
          <t>CSE111</t>
        </is>
      </c>
      <c r="B125" t="inlineStr">
        <is>
          <t>High Performance</t>
        </is>
      </c>
      <c r="C125" t="inlineStr">
        <is>
          <t xml:space="preserve">W01 Project: Tire Volume </t>
        </is>
      </c>
      <c r="D125" t="n">
        <v>2</v>
      </c>
      <c r="E125" t="n">
        <v>5</v>
      </c>
      <c r="F125" t="n">
        <v>100</v>
      </c>
      <c r="G125" t="n">
        <v>0.9</v>
      </c>
      <c r="H125" t="inlineStr">
        <is>
          <t>y</t>
        </is>
      </c>
      <c r="I125" s="87" t="n">
        <v>46212</v>
      </c>
      <c r="J125" s="87" t="n">
        <v>46215</v>
      </c>
      <c r="K125" s="87" t="n">
        <v>46215</v>
      </c>
      <c r="L125" t="n">
        <v>90</v>
      </c>
      <c r="M125" t="inlineStr">
        <is>
          <t xml:space="preserve">High Performance: W01 Project Milestone: Tire Volume </t>
        </is>
      </c>
      <c r="N125" t="inlineStr">
        <is>
          <t xml:space="preserve">Provide Positive Feedback on W01 Project Milestone: Tire Volume </t>
        </is>
      </c>
    </row>
    <row r="126">
      <c r="A126" t="inlineStr">
        <is>
          <t>CSE111</t>
        </is>
      </c>
      <c r="B126" t="inlineStr">
        <is>
          <t>High Performance</t>
        </is>
      </c>
      <c r="C126" t="inlineStr">
        <is>
          <t>W02 Project: Password Strength</t>
        </is>
      </c>
      <c r="D126" t="n">
        <v>3</v>
      </c>
      <c r="E126" t="n">
        <v>5</v>
      </c>
      <c r="F126" t="n">
        <v>100</v>
      </c>
      <c r="G126" t="n">
        <v>0.9</v>
      </c>
      <c r="H126" t="inlineStr">
        <is>
          <t>y</t>
        </is>
      </c>
      <c r="I126" s="87" t="n">
        <v>46219</v>
      </c>
      <c r="J126" s="87" t="n">
        <v>46222</v>
      </c>
      <c r="K126" s="87" t="n">
        <v>46222</v>
      </c>
      <c r="L126" t="n">
        <v>90</v>
      </c>
      <c r="M126" t="inlineStr">
        <is>
          <t xml:space="preserve">High Performance: W02 Project: Password Strength </t>
        </is>
      </c>
      <c r="N126" t="inlineStr">
        <is>
          <t xml:space="preserve">Provide Positive Feedback on W02 Project: Password Strength </t>
        </is>
      </c>
    </row>
    <row r="127">
      <c r="A127" t="inlineStr">
        <is>
          <t>CSE111</t>
        </is>
      </c>
      <c r="B127" t="inlineStr">
        <is>
          <t>High Performance</t>
        </is>
      </c>
      <c r="C127" t="inlineStr">
        <is>
          <t xml:space="preserve">W03 Project: Water Pressure </t>
        </is>
      </c>
      <c r="D127" t="n">
        <v>4</v>
      </c>
      <c r="E127" t="n">
        <v>5</v>
      </c>
      <c r="F127" t="n">
        <v>100</v>
      </c>
      <c r="G127" t="n">
        <v>0.9</v>
      </c>
      <c r="H127" t="inlineStr">
        <is>
          <t>y</t>
        </is>
      </c>
      <c r="I127" s="87" t="n">
        <v>46226</v>
      </c>
      <c r="J127" s="87" t="n">
        <v>46229</v>
      </c>
      <c r="K127" s="87" t="n">
        <v>46229</v>
      </c>
      <c r="L127" t="n">
        <v>90</v>
      </c>
      <c r="M127" t="inlineStr">
        <is>
          <t xml:space="preserve">High Performance: W03 Project: Water Pressure </t>
        </is>
      </c>
      <c r="N127" t="inlineStr">
        <is>
          <t xml:space="preserve">Provide Positive Feedback on W03 Project: Water Pressure </t>
        </is>
      </c>
    </row>
    <row r="128">
      <c r="A128" t="inlineStr">
        <is>
          <t>CSE111</t>
        </is>
      </c>
      <c r="B128" t="inlineStr">
        <is>
          <t>High Performance</t>
        </is>
      </c>
      <c r="C128" t="inlineStr">
        <is>
          <t xml:space="preserve">W04 Project: Chemistry </t>
        </is>
      </c>
      <c r="D128" t="n">
        <v>5</v>
      </c>
      <c r="E128" t="n">
        <v>5</v>
      </c>
      <c r="F128" t="n">
        <v>100</v>
      </c>
      <c r="G128" t="n">
        <v>0.9</v>
      </c>
      <c r="H128" t="inlineStr">
        <is>
          <t>y</t>
        </is>
      </c>
      <c r="I128" s="87" t="n">
        <v>46233</v>
      </c>
      <c r="J128" s="87" t="n">
        <v>46236</v>
      </c>
      <c r="K128" s="87" t="n">
        <v>46236</v>
      </c>
      <c r="L128" t="n">
        <v>90</v>
      </c>
      <c r="M128" t="inlineStr">
        <is>
          <t xml:space="preserve">High Performance: W04 Project: Chemistry </t>
        </is>
      </c>
      <c r="N128" t="inlineStr">
        <is>
          <t xml:space="preserve">Provide Positive Feedback on W04 Project: Chemistry </t>
        </is>
      </c>
    </row>
    <row r="129">
      <c r="A129" t="inlineStr">
        <is>
          <t>CSE111</t>
        </is>
      </c>
      <c r="B129" t="inlineStr">
        <is>
          <t>High Performance</t>
        </is>
      </c>
      <c r="C129" t="inlineStr">
        <is>
          <t xml:space="preserve">W05 Project: Grocery Store </t>
        </is>
      </c>
      <c r="D129" t="n">
        <v>6</v>
      </c>
      <c r="E129" t="n">
        <v>5</v>
      </c>
      <c r="F129" t="n">
        <v>100</v>
      </c>
      <c r="G129" t="n">
        <v>0.9</v>
      </c>
      <c r="H129" t="inlineStr">
        <is>
          <t>y</t>
        </is>
      </c>
      <c r="I129" s="87" t="n">
        <v>46240</v>
      </c>
      <c r="J129" s="87" t="n">
        <v>46243</v>
      </c>
      <c r="K129" s="87" t="n">
        <v>46243</v>
      </c>
      <c r="L129" t="n">
        <v>90</v>
      </c>
      <c r="M129" t="inlineStr">
        <is>
          <t xml:space="preserve">High Performance: W05 Project: Grocery Store </t>
        </is>
      </c>
      <c r="N129" t="inlineStr">
        <is>
          <t xml:space="preserve">Provide Positive Feedback on W05 Project: Grocery Store </t>
        </is>
      </c>
    </row>
    <row r="130">
      <c r="A130" t="inlineStr">
        <is>
          <t>CSE111</t>
        </is>
      </c>
      <c r="B130" t="inlineStr">
        <is>
          <t>Low Performance</t>
        </is>
      </c>
      <c r="C130" t="inlineStr">
        <is>
          <t xml:space="preserve">W01 Project: Tire Volume </t>
        </is>
      </c>
      <c r="D130" t="n">
        <v>2</v>
      </c>
      <c r="E130" t="n">
        <v>5</v>
      </c>
      <c r="F130" t="n">
        <v>100</v>
      </c>
      <c r="G130" t="n">
        <v>0.7</v>
      </c>
      <c r="H130" t="inlineStr">
        <is>
          <t>y</t>
        </is>
      </c>
      <c r="I130" s="87" t="n">
        <v>46212</v>
      </c>
      <c r="J130" s="87" t="n">
        <v>46215</v>
      </c>
      <c r="K130" s="87" t="n">
        <v>46215</v>
      </c>
      <c r="L130" t="n">
        <v>70</v>
      </c>
      <c r="M130" t="inlineStr">
        <is>
          <t xml:space="preserve">Low Perfromance: W01 Project Milestone: Tire Volume </t>
        </is>
      </c>
      <c r="N130" t="inlineStr">
        <is>
          <t xml:space="preserve">At Risk. Student scored below 70% on W01 Project Milestone: Tire Volume Check in to see how you can help. </t>
        </is>
      </c>
    </row>
    <row r="131">
      <c r="A131" t="inlineStr">
        <is>
          <t>CSE111</t>
        </is>
      </c>
      <c r="B131" t="inlineStr">
        <is>
          <t>Low Performance</t>
        </is>
      </c>
      <c r="C131" t="inlineStr">
        <is>
          <t>W02 Project: Password Strength</t>
        </is>
      </c>
      <c r="D131" t="n">
        <v>3</v>
      </c>
      <c r="E131" t="n">
        <v>5</v>
      </c>
      <c r="F131" t="n">
        <v>100</v>
      </c>
      <c r="G131" t="n">
        <v>0.7</v>
      </c>
      <c r="H131" t="inlineStr">
        <is>
          <t>y</t>
        </is>
      </c>
      <c r="I131" s="87" t="n">
        <v>46219</v>
      </c>
      <c r="J131" s="87" t="n">
        <v>46222</v>
      </c>
      <c r="K131" s="87" t="n">
        <v>46222</v>
      </c>
      <c r="L131" t="n">
        <v>70</v>
      </c>
      <c r="M131" t="inlineStr">
        <is>
          <t xml:space="preserve">Low Perfromance: W02 Project: Password Strength </t>
        </is>
      </c>
      <c r="N131" t="inlineStr">
        <is>
          <t xml:space="preserve">At Risk. Student scored below 70% on W02 Project: Password Strength. Check in to see how you can help. </t>
        </is>
      </c>
    </row>
    <row r="132">
      <c r="A132" t="inlineStr">
        <is>
          <t>CSE111</t>
        </is>
      </c>
      <c r="B132" t="inlineStr">
        <is>
          <t>Low Performance</t>
        </is>
      </c>
      <c r="C132" t="inlineStr">
        <is>
          <t xml:space="preserve">W03 Project: Water Pressure </t>
        </is>
      </c>
      <c r="D132" t="n">
        <v>4</v>
      </c>
      <c r="E132" t="n">
        <v>5</v>
      </c>
      <c r="F132" t="n">
        <v>100</v>
      </c>
      <c r="G132" t="n">
        <v>0.7</v>
      </c>
      <c r="H132" t="inlineStr">
        <is>
          <t>y</t>
        </is>
      </c>
      <c r="I132" s="87" t="n">
        <v>46226</v>
      </c>
      <c r="J132" s="87" t="n">
        <v>46229</v>
      </c>
      <c r="K132" s="87" t="n">
        <v>46229</v>
      </c>
      <c r="L132" t="n">
        <v>70</v>
      </c>
      <c r="M132" t="inlineStr">
        <is>
          <t xml:space="preserve">Low Perfromance: W03 Project: Water Pressure </t>
        </is>
      </c>
      <c r="N132" t="inlineStr">
        <is>
          <t xml:space="preserve">At Risk. Student scored below 70% on W03 Project: Water Pressure.Check in to see how you can help. </t>
        </is>
      </c>
    </row>
    <row r="133">
      <c r="A133" t="inlineStr">
        <is>
          <t>CSE111</t>
        </is>
      </c>
      <c r="B133" t="inlineStr">
        <is>
          <t>Low Performance</t>
        </is>
      </c>
      <c r="C133" t="inlineStr">
        <is>
          <t xml:space="preserve">W04 Project: Chemistry </t>
        </is>
      </c>
      <c r="D133" t="n">
        <v>5</v>
      </c>
      <c r="E133" t="n">
        <v>5</v>
      </c>
      <c r="F133" t="n">
        <v>100</v>
      </c>
      <c r="G133" t="n">
        <v>0.7</v>
      </c>
      <c r="H133" t="inlineStr">
        <is>
          <t>y</t>
        </is>
      </c>
      <c r="I133" s="87" t="n">
        <v>46233</v>
      </c>
      <c r="J133" s="87" t="n">
        <v>46236</v>
      </c>
      <c r="K133" s="87" t="n">
        <v>46236</v>
      </c>
      <c r="L133" t="n">
        <v>70</v>
      </c>
      <c r="M133" t="inlineStr">
        <is>
          <t xml:space="preserve">Low Perfromance: W04 Project: Chemistry </t>
        </is>
      </c>
      <c r="N133" t="inlineStr">
        <is>
          <t xml:space="preserve">At Risk. Student scored below 70% on W04 Project: Chemistry. Check in to see how you can help. </t>
        </is>
      </c>
    </row>
    <row r="134">
      <c r="A134" t="inlineStr">
        <is>
          <t>CSE111</t>
        </is>
      </c>
      <c r="B134" t="inlineStr">
        <is>
          <t>Low Performance</t>
        </is>
      </c>
      <c r="C134" t="inlineStr">
        <is>
          <t xml:space="preserve">W05 Project: Grocery Store </t>
        </is>
      </c>
      <c r="D134" t="n">
        <v>6</v>
      </c>
      <c r="E134" t="n">
        <v>5</v>
      </c>
      <c r="F134" t="n">
        <v>100</v>
      </c>
      <c r="G134" t="n">
        <v>0.7</v>
      </c>
      <c r="H134" t="inlineStr">
        <is>
          <t>y</t>
        </is>
      </c>
      <c r="I134" s="87" t="n">
        <v>46240</v>
      </c>
      <c r="J134" s="87" t="n">
        <v>46243</v>
      </c>
      <c r="K134" s="87" t="n">
        <v>46243</v>
      </c>
      <c r="L134" t="n">
        <v>70</v>
      </c>
      <c r="M134" t="inlineStr">
        <is>
          <t xml:space="preserve">Low Perfromance: W05 Project: Grocery Store </t>
        </is>
      </c>
      <c r="N134" t="inlineStr">
        <is>
          <t xml:space="preserve">At Risk. Student scored below 70% on W05 Project: Grocery Store. Check in to see how you can help. </t>
        </is>
      </c>
    </row>
    <row r="135">
      <c r="A135" t="inlineStr">
        <is>
          <t>CSE111</t>
        </is>
      </c>
      <c r="B135" t="inlineStr">
        <is>
          <t>Missing Assignment</t>
        </is>
      </c>
      <c r="C135" t="inlineStr">
        <is>
          <t xml:space="preserve">W01 Project: Tire Volume </t>
        </is>
      </c>
      <c r="D135" t="n">
        <v>2</v>
      </c>
      <c r="E135" t="n">
        <v>2</v>
      </c>
      <c r="H135" t="inlineStr">
        <is>
          <t>y</t>
        </is>
      </c>
      <c r="I135" s="87" t="n">
        <v>46209</v>
      </c>
      <c r="J135" s="87" t="n">
        <v>46212</v>
      </c>
      <c r="K135" s="87" t="n">
        <v>46215</v>
      </c>
      <c r="L135" t="n">
        <v>0</v>
      </c>
      <c r="M135" t="inlineStr">
        <is>
          <t xml:space="preserve">Missing Assignment: W01 Project Milestone: Tire Volume </t>
        </is>
      </c>
      <c r="N135" t="inlineStr">
        <is>
          <t xml:space="preserve">Check in with student missing W01 Project Milestone: Tire Volume </t>
        </is>
      </c>
    </row>
    <row r="136">
      <c r="A136" t="inlineStr">
        <is>
          <t>CSE111</t>
        </is>
      </c>
      <c r="B136" t="inlineStr">
        <is>
          <t>Missing Assignment</t>
        </is>
      </c>
      <c r="C136" t="inlineStr">
        <is>
          <t xml:space="preserve">W02 Project: Password Strength </t>
        </is>
      </c>
      <c r="D136" t="n">
        <v>3</v>
      </c>
      <c r="E136" t="n">
        <v>2</v>
      </c>
      <c r="H136" t="inlineStr">
        <is>
          <t>y</t>
        </is>
      </c>
      <c r="I136" s="87" t="n">
        <v>46216</v>
      </c>
      <c r="J136" s="87" t="n">
        <v>46219</v>
      </c>
      <c r="K136" s="87" t="n">
        <v>46222</v>
      </c>
      <c r="L136" t="n">
        <v>0</v>
      </c>
      <c r="M136" t="inlineStr">
        <is>
          <t xml:space="preserve">Missing Assignment: W02 Project: Password Strength </t>
        </is>
      </c>
      <c r="N136" t="inlineStr">
        <is>
          <t>Check in with student missing W01 Project: Password Strength</t>
        </is>
      </c>
    </row>
    <row r="137">
      <c r="A137" t="inlineStr">
        <is>
          <t>CSE111</t>
        </is>
      </c>
      <c r="B137" t="inlineStr">
        <is>
          <t>Missing Assignment</t>
        </is>
      </c>
      <c r="C137" t="inlineStr">
        <is>
          <t xml:space="preserve">W03 Project: Water Pressure </t>
        </is>
      </c>
      <c r="D137" t="n">
        <v>4</v>
      </c>
      <c r="E137" t="n">
        <v>2</v>
      </c>
      <c r="H137" t="inlineStr">
        <is>
          <t>y</t>
        </is>
      </c>
      <c r="I137" s="87" t="n">
        <v>46223</v>
      </c>
      <c r="J137" s="87" t="n">
        <v>46226</v>
      </c>
      <c r="K137" s="87" t="n">
        <v>46229</v>
      </c>
      <c r="L137" t="n">
        <v>0</v>
      </c>
      <c r="M137" t="inlineStr">
        <is>
          <t xml:space="preserve">Missing Assignment: W03 Project: Water Pressure </t>
        </is>
      </c>
      <c r="N137" t="inlineStr">
        <is>
          <t>Check in with student missing W01 Project: Water Pressure</t>
        </is>
      </c>
    </row>
    <row r="138">
      <c r="A138" t="inlineStr">
        <is>
          <t>CSE111</t>
        </is>
      </c>
      <c r="B138" t="inlineStr">
        <is>
          <t>Missing Assignment</t>
        </is>
      </c>
      <c r="C138" t="inlineStr">
        <is>
          <t xml:space="preserve">W04 Project: Chemistry </t>
        </is>
      </c>
      <c r="D138" t="n">
        <v>5</v>
      </c>
      <c r="E138" t="n">
        <v>2</v>
      </c>
      <c r="H138" t="inlineStr">
        <is>
          <t>y</t>
        </is>
      </c>
      <c r="I138" s="87" t="n">
        <v>46230</v>
      </c>
      <c r="J138" s="87" t="n">
        <v>46233</v>
      </c>
      <c r="K138" s="87" t="n">
        <v>46236</v>
      </c>
      <c r="L138" t="n">
        <v>0</v>
      </c>
      <c r="M138" t="inlineStr">
        <is>
          <t xml:space="preserve">Missing Assignment: W04 Project: Chemistry </t>
        </is>
      </c>
      <c r="N138" t="inlineStr">
        <is>
          <t xml:space="preserve">Check in with student missing W04 Project: Chemistry </t>
        </is>
      </c>
    </row>
    <row r="139">
      <c r="A139" t="inlineStr">
        <is>
          <t>CSE111</t>
        </is>
      </c>
      <c r="B139" t="inlineStr">
        <is>
          <t>Missing Assignment</t>
        </is>
      </c>
      <c r="C139" t="inlineStr">
        <is>
          <t xml:space="preserve">W05 Project: Grocery Store </t>
        </is>
      </c>
      <c r="D139" t="n">
        <v>6</v>
      </c>
      <c r="E139" t="n">
        <v>2</v>
      </c>
      <c r="H139" t="inlineStr">
        <is>
          <t>y</t>
        </is>
      </c>
      <c r="I139" s="87" t="n">
        <v>46237</v>
      </c>
      <c r="J139" s="87" t="n">
        <v>46240</v>
      </c>
      <c r="K139" s="87" t="n">
        <v>46243</v>
      </c>
      <c r="L139" t="n">
        <v>0</v>
      </c>
      <c r="M139" t="inlineStr">
        <is>
          <t xml:space="preserve">Missing Assignment: W05 Project: Grocery Store </t>
        </is>
      </c>
      <c r="N139" t="inlineStr">
        <is>
          <t xml:space="preserve">Check in with student missing W05 Project: Grocery Store </t>
        </is>
      </c>
    </row>
    <row r="140">
      <c r="A140" t="inlineStr">
        <is>
          <t>CSE210</t>
        </is>
      </c>
      <c r="B140" t="inlineStr">
        <is>
          <t>New Student Added</t>
        </is>
      </c>
      <c r="D140" t="n">
        <v>0</v>
      </c>
      <c r="E140" t="n">
        <v>2</v>
      </c>
      <c r="H140" t="inlineStr">
        <is>
          <t>y</t>
        </is>
      </c>
      <c r="I140" s="87" t="n">
        <v>46195</v>
      </c>
      <c r="J140" s="87" t="n">
        <v>46198</v>
      </c>
      <c r="K140" s="87" t="n">
        <v>46201</v>
      </c>
      <c r="L140" t="n">
        <v>0</v>
      </c>
      <c r="M140" t="inlineStr">
        <is>
          <t>Welcome Email</t>
        </is>
      </c>
    </row>
    <row r="141">
      <c r="A141" t="inlineStr">
        <is>
          <t>CSE210</t>
        </is>
      </c>
      <c r="B141" t="inlineStr">
        <is>
          <t>Scheduled - Not Logged In</t>
        </is>
      </c>
      <c r="C141" t="inlineStr">
        <is>
          <t>Not Logged In</t>
        </is>
      </c>
      <c r="D141" t="n">
        <v>1</v>
      </c>
      <c r="E141" t="n">
        <v>4</v>
      </c>
      <c r="H141" t="inlineStr">
        <is>
          <t>y</t>
        </is>
      </c>
      <c r="I141" s="87" t="n">
        <v>46204</v>
      </c>
      <c r="J141" s="87" t="n">
        <v>46207</v>
      </c>
      <c r="K141" s="87" t="n">
        <v>46208</v>
      </c>
      <c r="L141" t="n">
        <v>0</v>
      </c>
      <c r="M141" t="inlineStr">
        <is>
          <t>Not Logged into Canvas</t>
        </is>
      </c>
      <c r="N141" t="inlineStr">
        <is>
          <t>Email (outside the IMS) students who have not logged into Canvas, reminding them that term started and encouraging them to get started.</t>
        </is>
      </c>
    </row>
    <row r="142">
      <c r="A142" t="inlineStr">
        <is>
          <t>CSE210</t>
        </is>
      </c>
      <c r="B142" t="inlineStr">
        <is>
          <t>Missing Assignment</t>
        </is>
      </c>
      <c r="C142" t="inlineStr">
        <is>
          <t>W01 Assignment: C# Programming Exercises</t>
        </is>
      </c>
      <c r="D142" t="n">
        <v>2</v>
      </c>
      <c r="E142" t="n">
        <v>2</v>
      </c>
      <c r="H142" t="inlineStr">
        <is>
          <t>y</t>
        </is>
      </c>
      <c r="I142" s="87" t="n">
        <v>46209</v>
      </c>
      <c r="J142" s="87" t="n">
        <v>46212</v>
      </c>
      <c r="K142" s="87" t="n">
        <v>46215</v>
      </c>
      <c r="L142" t="n">
        <v>0</v>
      </c>
      <c r="M142" t="inlineStr">
        <is>
          <t>Missing Assignment: W01 Assignment: C# Programming Exercises</t>
        </is>
      </c>
      <c r="N142" t="inlineStr">
        <is>
          <t>Check in with student missing W01 Assignment: C# Programming Exercises</t>
        </is>
      </c>
    </row>
    <row r="143">
      <c r="A143" t="inlineStr">
        <is>
          <t>CSE210</t>
        </is>
      </c>
      <c r="B143" t="inlineStr">
        <is>
          <t>Grader-Issued 0</t>
        </is>
      </c>
      <c r="C143" t="inlineStr">
        <is>
          <t>W01 Assignment: C# Programming Exercises</t>
        </is>
      </c>
      <c r="D143" t="n">
        <v>2</v>
      </c>
      <c r="E143" t="n">
        <v>4</v>
      </c>
      <c r="F143" t="n">
        <v>100</v>
      </c>
      <c r="H143" t="inlineStr">
        <is>
          <t>y</t>
        </is>
      </c>
      <c r="I143" s="87" t="n">
        <v>46211</v>
      </c>
      <c r="J143" s="87" t="n">
        <v>46214</v>
      </c>
      <c r="K143" s="87" t="n">
        <v>46215</v>
      </c>
      <c r="L143" t="n">
        <v>0</v>
      </c>
      <c r="M143" t="inlineStr">
        <is>
          <t>The student was given a Grader issued 0 on W01 Assignment: C# Programming Exercises</t>
        </is>
      </c>
      <c r="N143" t="inlineStr">
        <is>
          <t>Grader issued 0 for Log into Canvas and see the grader comments. Work with the student to help resubmit.</t>
        </is>
      </c>
    </row>
    <row r="144">
      <c r="A144" t="inlineStr">
        <is>
          <t>CSE210</t>
        </is>
      </c>
      <c r="B144" t="inlineStr">
        <is>
          <t>High Performance</t>
        </is>
      </c>
      <c r="C144" t="inlineStr">
        <is>
          <t>W01 Assignment: C# Programming Exercises</t>
        </is>
      </c>
      <c r="D144" t="n">
        <v>2</v>
      </c>
      <c r="E144" t="n">
        <v>5</v>
      </c>
      <c r="F144" t="n">
        <v>100</v>
      </c>
      <c r="G144" t="n">
        <v>0.9</v>
      </c>
      <c r="H144" t="inlineStr">
        <is>
          <t>y</t>
        </is>
      </c>
      <c r="I144" s="87" t="n">
        <v>46212</v>
      </c>
      <c r="J144" s="87" t="n">
        <v>46215</v>
      </c>
      <c r="K144" s="87" t="n">
        <v>46215</v>
      </c>
      <c r="L144" t="n">
        <v>90</v>
      </c>
      <c r="M144" t="inlineStr">
        <is>
          <t>High Performance: W01 Assignment: C# Programming Exercises</t>
        </is>
      </c>
      <c r="N144" t="inlineStr">
        <is>
          <t>Provide Positive Feedback</t>
        </is>
      </c>
    </row>
    <row r="145">
      <c r="A145" t="inlineStr">
        <is>
          <t>CSE210</t>
        </is>
      </c>
      <c r="B145" t="inlineStr">
        <is>
          <t>Low Performance</t>
        </is>
      </c>
      <c r="C145" t="inlineStr">
        <is>
          <t>W01 Assignment: C# Programming Exercises</t>
        </is>
      </c>
      <c r="D145" t="n">
        <v>2</v>
      </c>
      <c r="E145" t="n">
        <v>5</v>
      </c>
      <c r="F145" t="n">
        <v>100</v>
      </c>
      <c r="G145" t="n">
        <v>0.7</v>
      </c>
      <c r="H145" t="inlineStr">
        <is>
          <t>y</t>
        </is>
      </c>
      <c r="I145" s="87" t="n">
        <v>46212</v>
      </c>
      <c r="J145" s="87" t="n">
        <v>46215</v>
      </c>
      <c r="K145" s="87" t="n">
        <v>46215</v>
      </c>
      <c r="L145" t="n">
        <v>70</v>
      </c>
      <c r="M145" t="inlineStr">
        <is>
          <t>Low Perfromance: W01 Assignment: C# Programming Exercises</t>
        </is>
      </c>
      <c r="N145" t="inlineStr">
        <is>
          <t xml:space="preserve">At Risk. Student scored below 70% on Check in to see how you can help. </t>
        </is>
      </c>
    </row>
    <row r="146">
      <c r="A146" t="inlineStr">
        <is>
          <t>CSE210</t>
        </is>
      </c>
      <c r="B146" t="inlineStr">
        <is>
          <t>Missing Assignment</t>
        </is>
      </c>
      <c r="C146" t="inlineStr">
        <is>
          <t>W02 Project: Journal Program</t>
        </is>
      </c>
      <c r="D146" t="n">
        <v>3</v>
      </c>
      <c r="E146" t="n">
        <v>2</v>
      </c>
      <c r="H146" t="inlineStr">
        <is>
          <t>y</t>
        </is>
      </c>
      <c r="I146" s="87" t="n">
        <v>46216</v>
      </c>
      <c r="J146" s="87" t="n">
        <v>46219</v>
      </c>
      <c r="K146" s="87" t="n">
        <v>46222</v>
      </c>
      <c r="L146" t="n">
        <v>0</v>
      </c>
      <c r="M146" t="inlineStr">
        <is>
          <t>Missing Assignment: W02 Project: Journal Program</t>
        </is>
      </c>
      <c r="N146" t="inlineStr">
        <is>
          <t>Check in with student missing W02 Project: Journal Program</t>
        </is>
      </c>
    </row>
    <row r="147">
      <c r="A147" t="inlineStr">
        <is>
          <t>CSE210</t>
        </is>
      </c>
      <c r="B147" t="inlineStr">
        <is>
          <t>Grader-Issued 0</t>
        </is>
      </c>
      <c r="C147" t="inlineStr">
        <is>
          <t>W02 Project: Journal Program</t>
        </is>
      </c>
      <c r="D147" t="n">
        <v>3</v>
      </c>
      <c r="E147" t="n">
        <v>4</v>
      </c>
      <c r="F147" t="n">
        <v>100</v>
      </c>
      <c r="H147" t="inlineStr">
        <is>
          <t>y</t>
        </is>
      </c>
      <c r="I147" s="87" t="n">
        <v>46218</v>
      </c>
      <c r="J147" s="87" t="n">
        <v>46221</v>
      </c>
      <c r="K147" s="87" t="n">
        <v>46222</v>
      </c>
      <c r="L147" t="n">
        <v>0</v>
      </c>
      <c r="M147" t="inlineStr">
        <is>
          <t>The student was given a Grader issued 0 on W02 Project: Journal Program</t>
        </is>
      </c>
      <c r="N147" t="inlineStr">
        <is>
          <t xml:space="preserve">Grader issued 0 for W02 Project: Journal Program. Log into Canvas and see the grader comments. Work with the student to help resubmit. </t>
        </is>
      </c>
    </row>
    <row r="148">
      <c r="A148" t="inlineStr">
        <is>
          <t>CSE210</t>
        </is>
      </c>
      <c r="B148" t="inlineStr">
        <is>
          <t>High Performance</t>
        </is>
      </c>
      <c r="C148" t="inlineStr">
        <is>
          <t>W02 Project: Journal Program</t>
        </is>
      </c>
      <c r="D148" t="n">
        <v>3</v>
      </c>
      <c r="E148" t="n">
        <v>5</v>
      </c>
      <c r="F148" t="n">
        <v>100</v>
      </c>
      <c r="G148" t="n">
        <v>0.9</v>
      </c>
      <c r="H148" t="inlineStr">
        <is>
          <t>y</t>
        </is>
      </c>
      <c r="I148" s="87" t="n">
        <v>46219</v>
      </c>
      <c r="J148" s="87" t="n">
        <v>46222</v>
      </c>
      <c r="K148" s="87" t="n">
        <v>46222</v>
      </c>
      <c r="L148" t="n">
        <v>90</v>
      </c>
      <c r="M148" t="inlineStr">
        <is>
          <t>High Performance: W02 Project: Journal Program</t>
        </is>
      </c>
      <c r="N148" t="inlineStr">
        <is>
          <t>Provide Positive Feedback on W02 Project: Journal Program</t>
        </is>
      </c>
    </row>
    <row r="149">
      <c r="A149" t="inlineStr">
        <is>
          <t>CSE210</t>
        </is>
      </c>
      <c r="B149" t="inlineStr">
        <is>
          <t>Low Performance</t>
        </is>
      </c>
      <c r="C149" t="inlineStr">
        <is>
          <t>W02 Project: Journal Program</t>
        </is>
      </c>
      <c r="D149" t="n">
        <v>3</v>
      </c>
      <c r="E149" t="n">
        <v>5</v>
      </c>
      <c r="F149" t="n">
        <v>100</v>
      </c>
      <c r="G149" t="n">
        <v>0.7</v>
      </c>
      <c r="H149" t="inlineStr">
        <is>
          <t>y</t>
        </is>
      </c>
      <c r="I149" s="87" t="n">
        <v>46219</v>
      </c>
      <c r="J149" s="87" t="n">
        <v>46222</v>
      </c>
      <c r="K149" s="87" t="n">
        <v>46222</v>
      </c>
      <c r="L149" t="n">
        <v>70</v>
      </c>
      <c r="M149" t="inlineStr">
        <is>
          <t>Low Perfromance: W02 Project: Journal Program</t>
        </is>
      </c>
      <c r="N149" t="inlineStr">
        <is>
          <t xml:space="preserve">At Risk. Student scored below 70% on W02 Project: Journal Program. Check in to see how you can help. </t>
        </is>
      </c>
    </row>
    <row r="150">
      <c r="A150" t="inlineStr">
        <is>
          <t>CSE210</t>
        </is>
      </c>
      <c r="B150" t="inlineStr">
        <is>
          <t>Missing Assignment</t>
        </is>
      </c>
      <c r="C150" t="inlineStr">
        <is>
          <t>W03 Project: Scripture Memorizer Program</t>
        </is>
      </c>
      <c r="D150" t="n">
        <v>4</v>
      </c>
      <c r="E150" t="n">
        <v>2</v>
      </c>
      <c r="H150" t="inlineStr">
        <is>
          <t>y</t>
        </is>
      </c>
      <c r="I150" s="87" t="n">
        <v>46223</v>
      </c>
      <c r="J150" s="87" t="n">
        <v>46226</v>
      </c>
      <c r="K150" s="87" t="n">
        <v>46229</v>
      </c>
      <c r="L150" t="n">
        <v>0</v>
      </c>
      <c r="M150" t="inlineStr">
        <is>
          <t>Missing Assignment: W03 Project: Scripture Memorizer Program</t>
        </is>
      </c>
      <c r="N150" t="inlineStr">
        <is>
          <t>Check in with student missing W03 Project: Scripture Memorizer Program</t>
        </is>
      </c>
    </row>
    <row r="151">
      <c r="A151" t="inlineStr">
        <is>
          <t>CSE210</t>
        </is>
      </c>
      <c r="B151" t="inlineStr">
        <is>
          <t>Grader-Issued 0</t>
        </is>
      </c>
      <c r="C151" t="inlineStr">
        <is>
          <t>W03 Project: Scripture Memorizer Program</t>
        </is>
      </c>
      <c r="D151" t="n">
        <v>4</v>
      </c>
      <c r="E151" t="n">
        <v>4</v>
      </c>
      <c r="F151" t="n">
        <v>100</v>
      </c>
      <c r="H151" t="inlineStr">
        <is>
          <t>y</t>
        </is>
      </c>
      <c r="I151" s="87" t="n">
        <v>46225</v>
      </c>
      <c r="J151" s="87" t="n">
        <v>46228</v>
      </c>
      <c r="K151" s="87" t="n">
        <v>46229</v>
      </c>
      <c r="L151" t="n">
        <v>0</v>
      </c>
      <c r="M151" t="inlineStr">
        <is>
          <t>The student was given a Grader issued 0 on W03 Project: Scripture Memorizer Program</t>
        </is>
      </c>
      <c r="N151" t="inlineStr">
        <is>
          <t>Grader issued 0 for W03 Project: Scripture Memorizer Program. Log into Canvas and see the grader comments. Work with the student to help resubmit.</t>
        </is>
      </c>
    </row>
    <row r="152">
      <c r="A152" t="inlineStr">
        <is>
          <t>CSE210</t>
        </is>
      </c>
      <c r="B152" t="inlineStr">
        <is>
          <t>Scheduled - Low Current Grade</t>
        </is>
      </c>
      <c r="C152" t="inlineStr">
        <is>
          <t>Withdraw Deadline Reminder</t>
        </is>
      </c>
      <c r="D152" t="n">
        <v>4</v>
      </c>
      <c r="E152" t="n">
        <v>4</v>
      </c>
      <c r="G152" t="n">
        <v>0.4</v>
      </c>
      <c r="H152" t="inlineStr">
        <is>
          <t>y</t>
        </is>
      </c>
      <c r="I152" s="87" t="n">
        <v>46225</v>
      </c>
      <c r="J152" s="87" t="n">
        <v>46228</v>
      </c>
      <c r="K152" s="87" t="n">
        <v>46229</v>
      </c>
      <c r="L152" t="n">
        <v>0</v>
      </c>
      <c r="M152" t="inlineStr">
        <is>
          <t>Failing student. Withdraw Reminder</t>
        </is>
      </c>
      <c r="N152" t="inlineStr">
        <is>
          <t>Email students who are currently failing with little chance to catch up, reminding them of the withdraw deadline.</t>
        </is>
      </c>
    </row>
    <row r="153">
      <c r="A153" t="inlineStr">
        <is>
          <t>CSE210</t>
        </is>
      </c>
      <c r="B153" t="inlineStr">
        <is>
          <t>High Performance</t>
        </is>
      </c>
      <c r="C153" t="inlineStr">
        <is>
          <t>W03 Project: Scripture Memorizer Program</t>
        </is>
      </c>
      <c r="D153" t="n">
        <v>4</v>
      </c>
      <c r="E153" t="n">
        <v>5</v>
      </c>
      <c r="F153" t="n">
        <v>100</v>
      </c>
      <c r="G153" t="n">
        <v>0.9</v>
      </c>
      <c r="H153" t="inlineStr">
        <is>
          <t>y</t>
        </is>
      </c>
      <c r="I153" s="87" t="n">
        <v>46226</v>
      </c>
      <c r="J153" s="87" t="n">
        <v>46229</v>
      </c>
      <c r="K153" s="87" t="n">
        <v>46229</v>
      </c>
      <c r="L153" t="n">
        <v>90</v>
      </c>
      <c r="M153" t="inlineStr">
        <is>
          <t>High Performance: W03 Project: Scripture Memorizer Program</t>
        </is>
      </c>
      <c r="N153" t="inlineStr">
        <is>
          <t>Provide Positive Feedback W03 Project: Scripture Memorizer Program</t>
        </is>
      </c>
    </row>
    <row r="154">
      <c r="A154" t="inlineStr">
        <is>
          <t>CSE210</t>
        </is>
      </c>
      <c r="B154" t="inlineStr">
        <is>
          <t>Low Performance</t>
        </is>
      </c>
      <c r="C154" t="inlineStr">
        <is>
          <t>W03 Project: Scripture Memorizer Program</t>
        </is>
      </c>
      <c r="D154" t="n">
        <v>4</v>
      </c>
      <c r="E154" t="n">
        <v>5</v>
      </c>
      <c r="F154" t="n">
        <v>100</v>
      </c>
      <c r="G154" t="n">
        <v>0.7</v>
      </c>
      <c r="H154" t="inlineStr">
        <is>
          <t>y</t>
        </is>
      </c>
      <c r="I154" s="87" t="n">
        <v>46226</v>
      </c>
      <c r="J154" s="87" t="n">
        <v>46229</v>
      </c>
      <c r="K154" s="87" t="n">
        <v>46229</v>
      </c>
      <c r="L154" t="n">
        <v>70</v>
      </c>
      <c r="M154" t="inlineStr">
        <is>
          <t>Low Perfromance: W03 Project: Scripture Memorizer Program</t>
        </is>
      </c>
      <c r="N154" t="inlineStr">
        <is>
          <t xml:space="preserve">At Risk. Student scored below 70% on W03 Project: Scripture Memorizer Program. Check in to see how you can help. </t>
        </is>
      </c>
    </row>
    <row r="155">
      <c r="A155" t="inlineStr">
        <is>
          <t>CSE210</t>
        </is>
      </c>
      <c r="B155" t="inlineStr">
        <is>
          <t>Scheduled - Classwide</t>
        </is>
      </c>
      <c r="C155" t="inlineStr">
        <is>
          <t>Registration Reminder 1</t>
        </is>
      </c>
      <c r="D155" t="n">
        <v>5</v>
      </c>
      <c r="E155" t="n">
        <v>4</v>
      </c>
      <c r="H155" t="inlineStr">
        <is>
          <t>y</t>
        </is>
      </c>
      <c r="I155" s="87" t="n">
        <v>46232</v>
      </c>
      <c r="J155" s="87" t="n">
        <v>46235</v>
      </c>
      <c r="K155" s="87" t="n">
        <v>46236</v>
      </c>
      <c r="L155" t="n">
        <v>0</v>
      </c>
      <c r="M155" t="inlineStr">
        <is>
          <t>Registration Reminder 1</t>
        </is>
      </c>
      <c r="N155" t="inlineStr">
        <is>
          <t>Send a message to all students, reminding them that registration for the next block is now open and encouraging them to go and take action.</t>
        </is>
      </c>
    </row>
    <row r="156">
      <c r="A156" t="inlineStr">
        <is>
          <t>CSE210</t>
        </is>
      </c>
      <c r="B156" t="inlineStr">
        <is>
          <t>Missing Assignment</t>
        </is>
      </c>
      <c r="C156" t="inlineStr">
        <is>
          <t>W05 Project: Mindfulness Program</t>
        </is>
      </c>
      <c r="D156" t="n">
        <v>6</v>
      </c>
      <c r="E156" t="n">
        <v>2</v>
      </c>
      <c r="H156" t="inlineStr">
        <is>
          <t>y</t>
        </is>
      </c>
      <c r="I156" s="87" t="n">
        <v>46237</v>
      </c>
      <c r="J156" s="87" t="n">
        <v>46240</v>
      </c>
      <c r="K156" s="87" t="n">
        <v>46243</v>
      </c>
      <c r="L156" t="n">
        <v>0</v>
      </c>
      <c r="M156" t="inlineStr">
        <is>
          <t>Missing Assignment: W05 Project: Mindfulness Program</t>
        </is>
      </c>
      <c r="N156" t="inlineStr">
        <is>
          <t>Check in with student missing W05 Project: Mindfulness Program</t>
        </is>
      </c>
    </row>
    <row r="157">
      <c r="A157" t="inlineStr">
        <is>
          <t>CSE210</t>
        </is>
      </c>
      <c r="B157" t="inlineStr">
        <is>
          <t>Grader-Issued 0</t>
        </is>
      </c>
      <c r="C157" t="inlineStr">
        <is>
          <t>W05 Project: Mindfulness Program</t>
        </is>
      </c>
      <c r="D157" t="n">
        <v>6</v>
      </c>
      <c r="E157" t="n">
        <v>4</v>
      </c>
      <c r="F157" t="n">
        <v>100</v>
      </c>
      <c r="H157" t="inlineStr">
        <is>
          <t>y</t>
        </is>
      </c>
      <c r="I157" s="87" t="n">
        <v>46239</v>
      </c>
      <c r="J157" s="87" t="n">
        <v>46242</v>
      </c>
      <c r="K157" s="87" t="n">
        <v>46243</v>
      </c>
      <c r="L157" t="n">
        <v>0</v>
      </c>
      <c r="M157" t="inlineStr">
        <is>
          <t>The student was given a Grader issued 0 on W05 Project: Mindfulness Program</t>
        </is>
      </c>
      <c r="N157" t="inlineStr">
        <is>
          <t>Grader issued 0 for W05 Project: Mindfulness Program. Log into Canvas and see the grader comments. Work with the student to help resubmit.</t>
        </is>
      </c>
    </row>
    <row r="158">
      <c r="A158" t="inlineStr">
        <is>
          <t>CSE210</t>
        </is>
      </c>
      <c r="B158" t="inlineStr">
        <is>
          <t>High Performance</t>
        </is>
      </c>
      <c r="C158" t="inlineStr">
        <is>
          <t>W05 Project: Mindfulness Program</t>
        </is>
      </c>
      <c r="D158" t="n">
        <v>6</v>
      </c>
      <c r="E158" t="n">
        <v>5</v>
      </c>
      <c r="F158" t="n">
        <v>100</v>
      </c>
      <c r="G158" t="n">
        <v>0.9</v>
      </c>
      <c r="H158" t="inlineStr">
        <is>
          <t>y</t>
        </is>
      </c>
      <c r="I158" s="87" t="n">
        <v>46240</v>
      </c>
      <c r="J158" s="87" t="n">
        <v>46243</v>
      </c>
      <c r="K158" s="87" t="n">
        <v>46243</v>
      </c>
      <c r="L158" t="n">
        <v>90</v>
      </c>
      <c r="M158" t="inlineStr">
        <is>
          <t>High Performance: W05 Project: Mindfulness Program</t>
        </is>
      </c>
      <c r="N158" t="inlineStr">
        <is>
          <t>Provide Positive Feedback on W05 Project: Mindfulness Program</t>
        </is>
      </c>
    </row>
    <row r="159">
      <c r="A159" t="inlineStr">
        <is>
          <t>CSE210</t>
        </is>
      </c>
      <c r="B159" t="inlineStr">
        <is>
          <t>Low Performance</t>
        </is>
      </c>
      <c r="C159" t="inlineStr">
        <is>
          <t>W05 Project: Mindfulness Program</t>
        </is>
      </c>
      <c r="D159" t="n">
        <v>6</v>
      </c>
      <c r="E159" t="n">
        <v>5</v>
      </c>
      <c r="F159" t="n">
        <v>100</v>
      </c>
      <c r="G159" t="n">
        <v>0.7</v>
      </c>
      <c r="H159" t="inlineStr">
        <is>
          <t>y</t>
        </is>
      </c>
      <c r="I159" s="87" t="n">
        <v>46240</v>
      </c>
      <c r="J159" s="87" t="n">
        <v>46243</v>
      </c>
      <c r="K159" s="87" t="n">
        <v>46243</v>
      </c>
      <c r="L159" t="n">
        <v>70</v>
      </c>
      <c r="M159" t="inlineStr">
        <is>
          <t>Low Perfromance: W05 Project: Mindfulness Program</t>
        </is>
      </c>
      <c r="N159" t="inlineStr">
        <is>
          <t xml:space="preserve">At Risk. Student scored below 70% on W05 Project: Mindfulness Program. Check in to see how you can help. </t>
        </is>
      </c>
    </row>
    <row r="160">
      <c r="A160" t="inlineStr">
        <is>
          <t>CSE210</t>
        </is>
      </c>
      <c r="B160" t="inlineStr">
        <is>
          <t>Scheduled - Classwide</t>
        </is>
      </c>
      <c r="C160" t="inlineStr">
        <is>
          <t>Registration Reminder 2</t>
        </is>
      </c>
      <c r="D160" t="n">
        <v>7</v>
      </c>
      <c r="E160" t="n">
        <v>1</v>
      </c>
      <c r="H160" t="inlineStr">
        <is>
          <t>y</t>
        </is>
      </c>
      <c r="I160" s="87" t="n">
        <v>46243</v>
      </c>
      <c r="J160" s="87" t="n">
        <v>46246</v>
      </c>
      <c r="K160" s="87" t="n">
        <v>46250</v>
      </c>
      <c r="L160" t="n">
        <v>0</v>
      </c>
      <c r="M160" t="inlineStr">
        <is>
          <t>Registration Reminder 2</t>
        </is>
      </c>
      <c r="N160" t="inlineStr">
        <is>
          <t>Send a message to all students, reminding them that registration for the next block is still open, but will be closing soon. Encourage them to go in and register as soon as possible.</t>
        </is>
      </c>
    </row>
    <row r="161">
      <c r="A161" t="inlineStr">
        <is>
          <t>CSE210</t>
        </is>
      </c>
      <c r="B161" t="inlineStr">
        <is>
          <t>Scheduled - Classwide</t>
        </is>
      </c>
      <c r="C161" t="inlineStr">
        <is>
          <t>End of Block Reminder</t>
        </is>
      </c>
      <c r="D161" t="n">
        <v>7</v>
      </c>
      <c r="E161" t="n">
        <v>2</v>
      </c>
      <c r="H161" t="inlineStr">
        <is>
          <t>y</t>
        </is>
      </c>
      <c r="I161" s="87" t="n">
        <v>46244</v>
      </c>
      <c r="J161" s="87" t="n">
        <v>46247</v>
      </c>
      <c r="K161" s="87" t="n">
        <v>46250</v>
      </c>
      <c r="L161" t="n">
        <v>0</v>
      </c>
      <c r="M161" t="inlineStr">
        <is>
          <t>End of Block Reminder</t>
        </is>
      </c>
      <c r="N161" t="inlineStr">
        <is>
          <t>Remind Students the course will be closing, submit assignments by deadline, complete End-of-Course Evaluation</t>
        </is>
      </c>
    </row>
    <row r="162">
      <c r="A162" t="inlineStr">
        <is>
          <t>CSE212</t>
        </is>
      </c>
      <c r="B162" t="inlineStr">
        <is>
          <t>New Student Added</t>
        </is>
      </c>
      <c r="C162" t="inlineStr">
        <is>
          <t>New Student Added</t>
        </is>
      </c>
      <c r="D162" t="n">
        <v>0</v>
      </c>
      <c r="E162" t="n">
        <v>2</v>
      </c>
      <c r="H162" t="inlineStr">
        <is>
          <t>y</t>
        </is>
      </c>
      <c r="I162" s="87" t="n">
        <v>46195</v>
      </c>
      <c r="J162" s="87" t="n">
        <v>46198</v>
      </c>
      <c r="K162" s="87" t="n">
        <v>46201</v>
      </c>
      <c r="L162" t="n">
        <v>0</v>
      </c>
      <c r="M162" t="inlineStr">
        <is>
          <t>Welcome Email</t>
        </is>
      </c>
      <c r="N162" t="inlineStr">
        <is>
          <t>Send a message to new students to welcome them to class and help them submit any assignments they missed.</t>
        </is>
      </c>
    </row>
    <row r="163">
      <c r="A163" t="inlineStr">
        <is>
          <t>CSE212</t>
        </is>
      </c>
      <c r="B163" t="inlineStr">
        <is>
          <t>Scheduled - Not Logged In</t>
        </is>
      </c>
      <c r="C163" t="inlineStr">
        <is>
          <t>Not Logged In</t>
        </is>
      </c>
      <c r="D163" t="n">
        <v>1</v>
      </c>
      <c r="E163" t="n">
        <v>4</v>
      </c>
      <c r="H163" t="inlineStr">
        <is>
          <t>y</t>
        </is>
      </c>
      <c r="I163" s="87" t="n">
        <v>46204</v>
      </c>
      <c r="J163" s="87" t="n">
        <v>46207</v>
      </c>
      <c r="K163" s="87" t="n">
        <v>46208</v>
      </c>
      <c r="L163" t="n">
        <v>0</v>
      </c>
      <c r="M163" t="inlineStr">
        <is>
          <t>Not Logged into Canvas</t>
        </is>
      </c>
      <c r="N163" t="inlineStr">
        <is>
          <t>Email (outside the IMS) students who have not logged into Canvas, reminding them that term started and encouraging them to get started.</t>
        </is>
      </c>
    </row>
    <row r="164">
      <c r="A164" t="inlineStr">
        <is>
          <t>CSE212</t>
        </is>
      </c>
      <c r="B164" t="inlineStr">
        <is>
          <t>Missing Assignment</t>
        </is>
      </c>
      <c r="C164" t="inlineStr">
        <is>
          <t>W01 Code: Dynamic Arrays</t>
        </is>
      </c>
      <c r="D164" t="n">
        <v>2</v>
      </c>
      <c r="E164" t="n">
        <v>2</v>
      </c>
      <c r="F164" t="n">
        <v>50</v>
      </c>
      <c r="H164" t="inlineStr">
        <is>
          <t>y</t>
        </is>
      </c>
      <c r="I164" s="87" t="n">
        <v>46209</v>
      </c>
      <c r="J164" s="87" t="n">
        <v>46212</v>
      </c>
      <c r="K164" s="87" t="n">
        <v>46215</v>
      </c>
      <c r="L164" t="n">
        <v>0</v>
      </c>
      <c r="M164" t="inlineStr">
        <is>
          <t>Missing Assignment: W01 Code: Dynamic Arrays</t>
        </is>
      </c>
      <c r="N164" t="inlineStr">
        <is>
          <t>Check in with student missing W01 Code: Dynamic Arrays</t>
        </is>
      </c>
    </row>
    <row r="165">
      <c r="A165" t="inlineStr">
        <is>
          <t>CSE212</t>
        </is>
      </c>
      <c r="B165" t="inlineStr">
        <is>
          <t>Quiz Question</t>
        </is>
      </c>
      <c r="C165" t="inlineStr">
        <is>
          <t>W01 60-second Status Update: NeedHelp Answer: Yes</t>
        </is>
      </c>
      <c r="D165" t="n">
        <v>2</v>
      </c>
      <c r="E165" t="n">
        <v>2</v>
      </c>
      <c r="H165" t="inlineStr">
        <is>
          <t>y</t>
        </is>
      </c>
      <c r="I165" s="87" t="n">
        <v>46209</v>
      </c>
      <c r="J165" s="87" t="n">
        <v>46212</v>
      </c>
      <c r="K165" s="87" t="n">
        <v>46215</v>
      </c>
      <c r="L165" t="n">
        <v>0</v>
      </c>
      <c r="M165" t="inlineStr">
        <is>
          <t>Response to 60-second W01 Status Update. Student feels overwhelmed.</t>
        </is>
      </c>
      <c r="N165" t="inlineStr">
        <is>
          <t>Student responded feeling overwhelmed in W01 60-second Status Update. Reach out to student to see how you can help.</t>
        </is>
      </c>
    </row>
    <row r="166">
      <c r="A166" t="inlineStr">
        <is>
          <t>CSE212</t>
        </is>
      </c>
      <c r="B166" t="inlineStr">
        <is>
          <t>Grader-Issued 0</t>
        </is>
      </c>
      <c r="C166" t="inlineStr">
        <is>
          <t>W01 Code: Dynamic Arrays</t>
        </is>
      </c>
      <c r="D166" t="n">
        <v>2</v>
      </c>
      <c r="E166" t="n">
        <v>4</v>
      </c>
      <c r="F166" t="n">
        <v>50</v>
      </c>
      <c r="H166" t="inlineStr">
        <is>
          <t>y</t>
        </is>
      </c>
      <c r="I166" s="87" t="n">
        <v>46211</v>
      </c>
      <c r="J166" s="87" t="n">
        <v>46214</v>
      </c>
      <c r="K166" s="87" t="n">
        <v>46215</v>
      </c>
      <c r="L166" t="n">
        <v>0</v>
      </c>
      <c r="M166" t="inlineStr">
        <is>
          <t>The student was given a Grader issued 0 on W01 Code: Dynamic Arrays</t>
        </is>
      </c>
      <c r="N166" t="inlineStr">
        <is>
          <t>Grader issued 0 for: W01 Code: Dynamic Arrays. Log into Canvas and see the grader comments. Work with the student to help resubmit.</t>
        </is>
      </c>
    </row>
    <row r="167">
      <c r="A167" t="inlineStr">
        <is>
          <t>CSE212</t>
        </is>
      </c>
      <c r="B167" t="inlineStr">
        <is>
          <t>High Performance</t>
        </is>
      </c>
      <c r="C167" t="inlineStr">
        <is>
          <t>W01 Code: Dynamic Arrays</t>
        </is>
      </c>
      <c r="D167" t="n">
        <v>2</v>
      </c>
      <c r="E167" t="n">
        <v>5</v>
      </c>
      <c r="F167" t="n">
        <v>50</v>
      </c>
      <c r="G167" t="n">
        <v>0.9</v>
      </c>
      <c r="H167" t="inlineStr">
        <is>
          <t>y</t>
        </is>
      </c>
      <c r="I167" s="87" t="n">
        <v>46212</v>
      </c>
      <c r="J167" s="87" t="n">
        <v>46215</v>
      </c>
      <c r="K167" s="87" t="n">
        <v>46215</v>
      </c>
      <c r="L167" t="n">
        <v>45</v>
      </c>
      <c r="M167" t="inlineStr">
        <is>
          <t>High Performance: W01 Code: Dynamic Arrays</t>
        </is>
      </c>
      <c r="N167" t="inlineStr">
        <is>
          <t>Provide Positive Feedback on W01 Code: Dynamic Arrays</t>
        </is>
      </c>
    </row>
    <row r="168">
      <c r="A168" t="inlineStr">
        <is>
          <t>CSE212</t>
        </is>
      </c>
      <c r="B168" t="inlineStr">
        <is>
          <t>Low Performance</t>
        </is>
      </c>
      <c r="C168" t="inlineStr">
        <is>
          <t>W01 Code: Dynamic Arrays</t>
        </is>
      </c>
      <c r="D168" t="n">
        <v>2</v>
      </c>
      <c r="E168" t="n">
        <v>5</v>
      </c>
      <c r="F168" t="n">
        <v>50</v>
      </c>
      <c r="G168" t="n">
        <v>0.7</v>
      </c>
      <c r="H168" t="inlineStr">
        <is>
          <t>y</t>
        </is>
      </c>
      <c r="I168" s="87" t="n">
        <v>46212</v>
      </c>
      <c r="J168" s="87" t="n">
        <v>46215</v>
      </c>
      <c r="K168" s="87" t="n">
        <v>46215</v>
      </c>
      <c r="L168" t="n">
        <v>35</v>
      </c>
      <c r="M168" t="inlineStr">
        <is>
          <t>Low Performance: W01 Code: Dynamic Arrays</t>
        </is>
      </c>
      <c r="N168" t="inlineStr">
        <is>
          <t xml:space="preserve">At Risk. Student scored below 70% on W01 Code: Dynamic Arrays. Check in to see how you can help. </t>
        </is>
      </c>
    </row>
    <row r="169">
      <c r="A169" t="inlineStr">
        <is>
          <t>CSE212</t>
        </is>
      </c>
      <c r="B169" t="inlineStr">
        <is>
          <t>Missing Assignment</t>
        </is>
      </c>
      <c r="C169" t="inlineStr">
        <is>
          <t>W02 Code: Queues</t>
        </is>
      </c>
      <c r="D169" t="n">
        <v>3</v>
      </c>
      <c r="E169" t="n">
        <v>2</v>
      </c>
      <c r="F169" t="n">
        <v>50</v>
      </c>
      <c r="H169" t="inlineStr">
        <is>
          <t>y</t>
        </is>
      </c>
      <c r="I169" s="87" t="n">
        <v>46216</v>
      </c>
      <c r="J169" s="87" t="n">
        <v>46219</v>
      </c>
      <c r="K169" s="87" t="n">
        <v>46222</v>
      </c>
      <c r="L169" t="n">
        <v>0</v>
      </c>
      <c r="M169" t="inlineStr">
        <is>
          <t>Missing Assignments: W02 Code: Queues</t>
        </is>
      </c>
      <c r="N169" t="inlineStr">
        <is>
          <t>Check in with student missing W02 Code: Queues</t>
        </is>
      </c>
    </row>
    <row r="170">
      <c r="A170" t="inlineStr">
        <is>
          <t>CSE212</t>
        </is>
      </c>
      <c r="B170" t="inlineStr">
        <is>
          <t>Quiz Question</t>
        </is>
      </c>
      <c r="C170" t="inlineStr">
        <is>
          <t>W02 60-second Status Update: NeedHelp Answer: Yes</t>
        </is>
      </c>
      <c r="D170" t="n">
        <v>3</v>
      </c>
      <c r="E170" t="n">
        <v>2</v>
      </c>
      <c r="H170" t="inlineStr">
        <is>
          <t>y</t>
        </is>
      </c>
      <c r="I170" s="87" t="n">
        <v>46216</v>
      </c>
      <c r="J170" s="87" t="n">
        <v>46219</v>
      </c>
      <c r="K170" s="87" t="n">
        <v>46222</v>
      </c>
      <c r="L170" t="n">
        <v>0</v>
      </c>
      <c r="M170" t="inlineStr">
        <is>
          <t>Response to 60-second W02 Status Update. Student feels overwhelmed.</t>
        </is>
      </c>
      <c r="N170" t="inlineStr">
        <is>
          <t>Student responded feeling overwhelmed in W02 60-second Status Update. Reach out to student to see how you can help.</t>
        </is>
      </c>
    </row>
    <row r="171">
      <c r="A171" t="inlineStr">
        <is>
          <t>CSE212</t>
        </is>
      </c>
      <c r="B171" t="inlineStr">
        <is>
          <t>Grader-Issued 0</t>
        </is>
      </c>
      <c r="C171" t="inlineStr">
        <is>
          <t>W02 Code: Queues</t>
        </is>
      </c>
      <c r="D171" t="n">
        <v>3</v>
      </c>
      <c r="E171" t="n">
        <v>4</v>
      </c>
      <c r="F171" t="n">
        <v>50</v>
      </c>
      <c r="H171" t="inlineStr">
        <is>
          <t>y</t>
        </is>
      </c>
      <c r="I171" s="87" t="n">
        <v>46218</v>
      </c>
      <c r="J171" s="87" t="n">
        <v>46221</v>
      </c>
      <c r="K171" s="87" t="n">
        <v>46222</v>
      </c>
      <c r="L171" t="n">
        <v>0</v>
      </c>
      <c r="M171" t="inlineStr">
        <is>
          <t>The student was given a Grader issued 0 on W02 Code: Queues</t>
        </is>
      </c>
      <c r="N171" t="inlineStr">
        <is>
          <t>Grader issued 0 for W02 Code: Queues. Log into Canvas and see the grader comments. Work with the student to help resubmit.</t>
        </is>
      </c>
    </row>
    <row r="172">
      <c r="A172" t="inlineStr">
        <is>
          <t>CSE212</t>
        </is>
      </c>
      <c r="B172" t="inlineStr">
        <is>
          <t>High Performance</t>
        </is>
      </c>
      <c r="C172" t="inlineStr">
        <is>
          <t>W02 Code: Queues</t>
        </is>
      </c>
      <c r="D172" t="n">
        <v>3</v>
      </c>
      <c r="E172" t="n">
        <v>5</v>
      </c>
      <c r="F172" t="n">
        <v>50</v>
      </c>
      <c r="G172" t="n">
        <v>0.9</v>
      </c>
      <c r="H172" t="inlineStr">
        <is>
          <t>y</t>
        </is>
      </c>
      <c r="I172" s="87" t="n">
        <v>46219</v>
      </c>
      <c r="J172" s="87" t="n">
        <v>46222</v>
      </c>
      <c r="K172" s="87" t="n">
        <v>46222</v>
      </c>
      <c r="L172" t="n">
        <v>45</v>
      </c>
      <c r="M172" t="inlineStr">
        <is>
          <t>High Performance: W02 Code: Queues</t>
        </is>
      </c>
      <c r="N172" t="inlineStr">
        <is>
          <t>Provide Positive Feedback on W02 Code: Queues</t>
        </is>
      </c>
    </row>
    <row r="173">
      <c r="A173" t="inlineStr">
        <is>
          <t>CSE212</t>
        </is>
      </c>
      <c r="B173" t="inlineStr">
        <is>
          <t>Low Performance</t>
        </is>
      </c>
      <c r="C173" t="inlineStr">
        <is>
          <t>W02 Code: Queues</t>
        </is>
      </c>
      <c r="D173" t="n">
        <v>3</v>
      </c>
      <c r="E173" t="n">
        <v>5</v>
      </c>
      <c r="F173" t="n">
        <v>50</v>
      </c>
      <c r="G173" t="n">
        <v>0.7</v>
      </c>
      <c r="H173" t="inlineStr">
        <is>
          <t>y</t>
        </is>
      </c>
      <c r="I173" s="87" t="n">
        <v>46219</v>
      </c>
      <c r="J173" s="87" t="n">
        <v>46222</v>
      </c>
      <c r="K173" s="87" t="n">
        <v>46222</v>
      </c>
      <c r="L173" t="n">
        <v>35</v>
      </c>
      <c r="M173" t="inlineStr">
        <is>
          <t>Low Performance: W02 Code: Queues</t>
        </is>
      </c>
      <c r="N173" t="inlineStr">
        <is>
          <t xml:space="preserve">At Risk. Student scored below 70% on W02 Code: Queues. Check in to see how you can help. </t>
        </is>
      </c>
    </row>
    <row r="174">
      <c r="A174" t="inlineStr">
        <is>
          <t>CSE212</t>
        </is>
      </c>
      <c r="B174" t="inlineStr">
        <is>
          <t>Missing Assignment</t>
        </is>
      </c>
      <c r="C174" t="inlineStr">
        <is>
          <t>W03 Code: Set and Maps</t>
        </is>
      </c>
      <c r="D174" t="n">
        <v>4</v>
      </c>
      <c r="E174" t="n">
        <v>2</v>
      </c>
      <c r="F174" t="n">
        <v>100</v>
      </c>
      <c r="H174" t="inlineStr">
        <is>
          <t>y</t>
        </is>
      </c>
      <c r="I174" s="87" t="n">
        <v>46223</v>
      </c>
      <c r="J174" s="87" t="n">
        <v>46226</v>
      </c>
      <c r="K174" s="87" t="n">
        <v>46229</v>
      </c>
      <c r="L174" t="n">
        <v>0</v>
      </c>
      <c r="M174" t="inlineStr">
        <is>
          <t>Missing Assignment: W03 Code: Set and Maps</t>
        </is>
      </c>
      <c r="N174" t="inlineStr">
        <is>
          <t>Check in with student missing W03 Code: Set and Maps</t>
        </is>
      </c>
    </row>
    <row r="175">
      <c r="A175" t="inlineStr">
        <is>
          <t>CSE212</t>
        </is>
      </c>
      <c r="B175" t="inlineStr">
        <is>
          <t>Quiz Question</t>
        </is>
      </c>
      <c r="C175" t="inlineStr">
        <is>
          <t>W03 60-second Status Update: NeedHelp Answer: Yes</t>
        </is>
      </c>
      <c r="D175" t="n">
        <v>4</v>
      </c>
      <c r="E175" t="n">
        <v>2</v>
      </c>
      <c r="H175" t="inlineStr">
        <is>
          <t>y</t>
        </is>
      </c>
      <c r="I175" s="87" t="n">
        <v>46223</v>
      </c>
      <c r="J175" s="87" t="n">
        <v>46226</v>
      </c>
      <c r="K175" s="87" t="n">
        <v>46229</v>
      </c>
      <c r="L175" t="n">
        <v>0</v>
      </c>
      <c r="M175" t="inlineStr">
        <is>
          <t>Response to 60-second W03 Status Update. Student feels overwhelmed.</t>
        </is>
      </c>
      <c r="N175" t="inlineStr">
        <is>
          <t>Student responded feeling overwhelmed in W03 60-second Status Update. Reach out to student to see how you can help.</t>
        </is>
      </c>
    </row>
    <row r="176">
      <c r="A176" t="inlineStr">
        <is>
          <t>CSE212</t>
        </is>
      </c>
      <c r="B176" t="inlineStr">
        <is>
          <t>Grader-Issued 0</t>
        </is>
      </c>
      <c r="C176" t="inlineStr">
        <is>
          <t>W03 Code: Set and Maps</t>
        </is>
      </c>
      <c r="D176" t="n">
        <v>4</v>
      </c>
      <c r="E176" t="n">
        <v>4</v>
      </c>
      <c r="F176" t="n">
        <v>100</v>
      </c>
      <c r="H176" t="inlineStr">
        <is>
          <t>y</t>
        </is>
      </c>
      <c r="I176" s="87" t="n">
        <v>46225</v>
      </c>
      <c r="J176" s="87" t="n">
        <v>46228</v>
      </c>
      <c r="K176" s="87" t="n">
        <v>46229</v>
      </c>
      <c r="L176" t="n">
        <v>0</v>
      </c>
      <c r="M176" t="inlineStr">
        <is>
          <t>The student was given a Grader issued 0 on W03 Code: Set and Maps</t>
        </is>
      </c>
      <c r="N176" t="inlineStr">
        <is>
          <t>Grader issued 0 for W03 Code: Set and Maps. Log into Canvas and see the grader comments. Work with the student to help resubmit.</t>
        </is>
      </c>
    </row>
    <row r="177">
      <c r="A177" t="inlineStr">
        <is>
          <t>CSE212</t>
        </is>
      </c>
      <c r="B177" t="inlineStr">
        <is>
          <t>Scheduled - Low Current Grade</t>
        </is>
      </c>
      <c r="C177" t="inlineStr">
        <is>
          <t>Withdraw Deadline Reminder</t>
        </is>
      </c>
      <c r="D177" t="n">
        <v>4</v>
      </c>
      <c r="E177" t="n">
        <v>4</v>
      </c>
      <c r="G177" t="n">
        <v>0.5</v>
      </c>
      <c r="H177" t="inlineStr">
        <is>
          <t>y</t>
        </is>
      </c>
      <c r="I177" s="87" t="n">
        <v>46225</v>
      </c>
      <c r="J177" s="87" t="n">
        <v>46228</v>
      </c>
      <c r="K177" s="87" t="n">
        <v>46229</v>
      </c>
      <c r="L177" t="n">
        <v>0</v>
      </c>
      <c r="M177" t="inlineStr">
        <is>
          <t xml:space="preserve">Failing student. Withdraw Reminder </t>
        </is>
      </c>
      <c r="N177" t="inlineStr">
        <is>
          <t>Email students who are currently failing with little chance to catch up, reminding them of the withdraw deadline.</t>
        </is>
      </c>
    </row>
    <row r="178">
      <c r="A178" t="inlineStr">
        <is>
          <t>CSE212</t>
        </is>
      </c>
      <c r="B178" t="inlineStr">
        <is>
          <t>High Performance</t>
        </is>
      </c>
      <c r="C178" t="inlineStr">
        <is>
          <t>W03 Code: Set and Maps</t>
        </is>
      </c>
      <c r="D178" t="n">
        <v>4</v>
      </c>
      <c r="E178" t="n">
        <v>5</v>
      </c>
      <c r="F178" t="n">
        <v>100</v>
      </c>
      <c r="G178" t="n">
        <v>0.9</v>
      </c>
      <c r="H178" t="inlineStr">
        <is>
          <t>y</t>
        </is>
      </c>
      <c r="I178" s="87" t="n">
        <v>46226</v>
      </c>
      <c r="J178" s="87" t="n">
        <v>46229</v>
      </c>
      <c r="K178" s="87" t="n">
        <v>46229</v>
      </c>
      <c r="L178" t="n">
        <v>90</v>
      </c>
      <c r="M178" t="inlineStr">
        <is>
          <t>High Performance: W03 Code: Set and Maps</t>
        </is>
      </c>
      <c r="N178" t="inlineStr">
        <is>
          <t>Provide Positive Feedback on W03 Code: Set and Maps</t>
        </is>
      </c>
    </row>
    <row r="179">
      <c r="A179" t="inlineStr">
        <is>
          <t>CSE212</t>
        </is>
      </c>
      <c r="B179" t="inlineStr">
        <is>
          <t>Low Performance</t>
        </is>
      </c>
      <c r="C179" t="inlineStr">
        <is>
          <t>W03 Code: Set and Maps</t>
        </is>
      </c>
      <c r="D179" t="n">
        <v>4</v>
      </c>
      <c r="E179" t="n">
        <v>5</v>
      </c>
      <c r="F179" t="n">
        <v>100</v>
      </c>
      <c r="G179" t="n">
        <v>0.7</v>
      </c>
      <c r="H179" t="inlineStr">
        <is>
          <t>y</t>
        </is>
      </c>
      <c r="I179" s="87" t="n">
        <v>46226</v>
      </c>
      <c r="J179" s="87" t="n">
        <v>46229</v>
      </c>
      <c r="K179" s="87" t="n">
        <v>46229</v>
      </c>
      <c r="L179" t="n">
        <v>70</v>
      </c>
      <c r="M179" t="inlineStr">
        <is>
          <t>Low Performance: W03 Code: Set and Maps</t>
        </is>
      </c>
      <c r="N179" t="inlineStr">
        <is>
          <t xml:space="preserve">At Risk. Student scored below 70% on W03 Code: Set and Maps. Check in to see how you can help. </t>
        </is>
      </c>
    </row>
    <row r="180">
      <c r="A180" t="inlineStr">
        <is>
          <t>CSE212</t>
        </is>
      </c>
      <c r="B180" t="inlineStr">
        <is>
          <t>Missing Assignment</t>
        </is>
      </c>
      <c r="C180" t="inlineStr">
        <is>
          <t>W04 Code: Linked Lists</t>
        </is>
      </c>
      <c r="D180" t="n">
        <v>5</v>
      </c>
      <c r="E180" t="n">
        <v>2</v>
      </c>
      <c r="F180" t="n">
        <v>100</v>
      </c>
      <c r="H180" t="inlineStr">
        <is>
          <t>y</t>
        </is>
      </c>
      <c r="I180" s="87" t="n">
        <v>46230</v>
      </c>
      <c r="J180" s="87" t="n">
        <v>46233</v>
      </c>
      <c r="K180" s="87" t="n">
        <v>46236</v>
      </c>
      <c r="L180" t="n">
        <v>0</v>
      </c>
      <c r="M180" t="inlineStr">
        <is>
          <t>Missing Assignment: W04 Code: Linked Lists</t>
        </is>
      </c>
      <c r="N180" t="inlineStr">
        <is>
          <t>Check in with student missing W04 Code: Linked Lists</t>
        </is>
      </c>
    </row>
    <row r="181">
      <c r="A181" t="inlineStr">
        <is>
          <t>CSE212</t>
        </is>
      </c>
      <c r="B181" t="inlineStr">
        <is>
          <t>Quiz Question</t>
        </is>
      </c>
      <c r="C181" t="inlineStr">
        <is>
          <t>W04 60-second Status Update: NeedHelp Answer: Yes</t>
        </is>
      </c>
      <c r="D181" t="n">
        <v>5</v>
      </c>
      <c r="E181" t="n">
        <v>2</v>
      </c>
      <c r="H181" t="inlineStr">
        <is>
          <t>y</t>
        </is>
      </c>
      <c r="I181" s="87" t="n">
        <v>46230</v>
      </c>
      <c r="J181" s="87" t="n">
        <v>46233</v>
      </c>
      <c r="K181" s="87" t="n">
        <v>46236</v>
      </c>
      <c r="L181" t="n">
        <v>0</v>
      </c>
      <c r="M181" t="inlineStr">
        <is>
          <t>Response to 60-second W04 Status Update. Student feels overwhelmed.</t>
        </is>
      </c>
      <c r="N181" t="inlineStr">
        <is>
          <t>Student responded feeling overwhelmed in W04 60-second Status Update. Reach out to student to see how you can help.</t>
        </is>
      </c>
    </row>
    <row r="182">
      <c r="A182" t="inlineStr">
        <is>
          <t>CSE212</t>
        </is>
      </c>
      <c r="B182" t="inlineStr">
        <is>
          <t>Grader-Issued 0</t>
        </is>
      </c>
      <c r="C182" t="inlineStr">
        <is>
          <t>W04 Code: Linked Lists</t>
        </is>
      </c>
      <c r="D182" t="n">
        <v>5</v>
      </c>
      <c r="E182" t="n">
        <v>4</v>
      </c>
      <c r="F182" t="n">
        <v>100</v>
      </c>
      <c r="H182" t="inlineStr">
        <is>
          <t>y</t>
        </is>
      </c>
      <c r="I182" s="87" t="n">
        <v>46232</v>
      </c>
      <c r="J182" s="87" t="n">
        <v>46235</v>
      </c>
      <c r="K182" s="87" t="n">
        <v>46236</v>
      </c>
      <c r="L182" t="n">
        <v>0</v>
      </c>
      <c r="M182" t="inlineStr">
        <is>
          <t>The student was given a Grader issued 0 on W04 Code: Linked Lists</t>
        </is>
      </c>
      <c r="N182" t="inlineStr">
        <is>
          <t>Grader issued 0 for W04 Code: Linked Lists. Log into Canvas and see the grader comments. Work with the student to help resubmit.</t>
        </is>
      </c>
    </row>
    <row r="183">
      <c r="A183" t="inlineStr">
        <is>
          <t>CSE212</t>
        </is>
      </c>
      <c r="B183" t="inlineStr">
        <is>
          <t>Scheduled - Classwide</t>
        </is>
      </c>
      <c r="C183" t="inlineStr">
        <is>
          <t>Registration Reminder 1</t>
        </is>
      </c>
      <c r="D183" t="n">
        <v>5</v>
      </c>
      <c r="E183" t="n">
        <v>4</v>
      </c>
      <c r="H183" t="inlineStr">
        <is>
          <t>y</t>
        </is>
      </c>
      <c r="I183" s="87" t="n">
        <v>46232</v>
      </c>
      <c r="J183" s="87" t="n">
        <v>46235</v>
      </c>
      <c r="K183" s="87" t="n">
        <v>46236</v>
      </c>
      <c r="L183" t="n">
        <v>0</v>
      </c>
      <c r="M183" t="inlineStr">
        <is>
          <t>Registration Reminder 1</t>
        </is>
      </c>
      <c r="N183" t="inlineStr">
        <is>
          <t>Send a message to all students, reminding them that registration for the next block is now open and encouraging them to go and take action.</t>
        </is>
      </c>
    </row>
    <row r="184">
      <c r="A184" t="inlineStr">
        <is>
          <t>CSE212</t>
        </is>
      </c>
      <c r="B184" t="inlineStr">
        <is>
          <t>High Performance</t>
        </is>
      </c>
      <c r="C184" t="inlineStr">
        <is>
          <t>W04 Code: Linked Lists</t>
        </is>
      </c>
      <c r="D184" t="n">
        <v>5</v>
      </c>
      <c r="E184" t="n">
        <v>5</v>
      </c>
      <c r="F184" t="n">
        <v>100</v>
      </c>
      <c r="G184" t="n">
        <v>0.9</v>
      </c>
      <c r="H184" t="inlineStr">
        <is>
          <t>y</t>
        </is>
      </c>
      <c r="I184" s="87" t="n">
        <v>46233</v>
      </c>
      <c r="J184" s="87" t="n">
        <v>46236</v>
      </c>
      <c r="K184" s="87" t="n">
        <v>46236</v>
      </c>
      <c r="L184" t="n">
        <v>90</v>
      </c>
      <c r="M184" t="inlineStr">
        <is>
          <t>High Performance: W04 Code: Linked Lists</t>
        </is>
      </c>
      <c r="N184" t="inlineStr">
        <is>
          <t>Provide Positive Feedback on W04 Code: Linked Lists</t>
        </is>
      </c>
    </row>
    <row r="185">
      <c r="A185" t="inlineStr">
        <is>
          <t>CSE212</t>
        </is>
      </c>
      <c r="B185" t="inlineStr">
        <is>
          <t>Low Performance</t>
        </is>
      </c>
      <c r="C185" t="inlineStr">
        <is>
          <t>W04 Code: Linked Lists</t>
        </is>
      </c>
      <c r="D185" t="n">
        <v>5</v>
      </c>
      <c r="E185" t="n">
        <v>5</v>
      </c>
      <c r="F185" t="n">
        <v>100</v>
      </c>
      <c r="G185" t="n">
        <v>0.7</v>
      </c>
      <c r="H185" t="inlineStr">
        <is>
          <t>y</t>
        </is>
      </c>
      <c r="I185" s="87" t="n">
        <v>46233</v>
      </c>
      <c r="J185" s="87" t="n">
        <v>46236</v>
      </c>
      <c r="K185" s="87" t="n">
        <v>46236</v>
      </c>
      <c r="L185" t="n">
        <v>70</v>
      </c>
      <c r="M185" t="inlineStr">
        <is>
          <t>Low Performance: W04 Code: Linked Lists</t>
        </is>
      </c>
      <c r="N185" t="inlineStr">
        <is>
          <t xml:space="preserve">At Risk. Student scored below 70% on W04 Code: Linked Lists. Check in to see how you can help. </t>
        </is>
      </c>
    </row>
    <row r="186">
      <c r="A186" t="inlineStr">
        <is>
          <t>CSE212</t>
        </is>
      </c>
      <c r="B186" t="inlineStr">
        <is>
          <t>Missing Assignment</t>
        </is>
      </c>
      <c r="C186" t="inlineStr">
        <is>
          <t>W05 Code: Recursion</t>
        </is>
      </c>
      <c r="D186" t="n">
        <v>6</v>
      </c>
      <c r="E186" t="n">
        <v>2</v>
      </c>
      <c r="F186" t="n">
        <v>100</v>
      </c>
      <c r="H186" t="inlineStr">
        <is>
          <t>y</t>
        </is>
      </c>
      <c r="I186" s="87" t="n">
        <v>46237</v>
      </c>
      <c r="J186" s="87" t="n">
        <v>46240</v>
      </c>
      <c r="K186" s="87" t="n">
        <v>46243</v>
      </c>
      <c r="L186" t="n">
        <v>0</v>
      </c>
      <c r="M186" t="inlineStr">
        <is>
          <t>Missing Assignment: W05 Code: Recursion</t>
        </is>
      </c>
      <c r="N186" t="inlineStr">
        <is>
          <t>Check in with student missing W05 Code: Recursion</t>
        </is>
      </c>
    </row>
    <row r="187">
      <c r="A187" t="inlineStr">
        <is>
          <t>CSE212</t>
        </is>
      </c>
      <c r="B187" t="inlineStr">
        <is>
          <t>Quiz Question</t>
        </is>
      </c>
      <c r="C187" t="inlineStr">
        <is>
          <t>W05 60-second Status Update: NeedHelp Answer: Yes</t>
        </is>
      </c>
      <c r="D187" t="n">
        <v>6</v>
      </c>
      <c r="E187" t="n">
        <v>2</v>
      </c>
      <c r="H187" t="inlineStr">
        <is>
          <t>y</t>
        </is>
      </c>
      <c r="I187" s="87" t="n">
        <v>46237</v>
      </c>
      <c r="J187" s="87" t="n">
        <v>46240</v>
      </c>
      <c r="K187" s="87" t="n">
        <v>46243</v>
      </c>
      <c r="L187" t="n">
        <v>0</v>
      </c>
      <c r="M187" t="inlineStr">
        <is>
          <t>Response to 60-second W05 Status Update. Student feels overwhelmed.</t>
        </is>
      </c>
      <c r="N187" t="inlineStr">
        <is>
          <t>Student responded feeling overwhelmed in W05 60-second Status Update. Reach out to student to see how you can help.</t>
        </is>
      </c>
    </row>
    <row r="188">
      <c r="A188" t="inlineStr">
        <is>
          <t>CSE212</t>
        </is>
      </c>
      <c r="B188" t="inlineStr">
        <is>
          <t>Grader-Issued 0</t>
        </is>
      </c>
      <c r="C188" t="inlineStr">
        <is>
          <t>W05 Code: Recursion</t>
        </is>
      </c>
      <c r="D188" t="n">
        <v>6</v>
      </c>
      <c r="E188" t="n">
        <v>4</v>
      </c>
      <c r="F188" t="n">
        <v>100</v>
      </c>
      <c r="H188" t="inlineStr">
        <is>
          <t>y</t>
        </is>
      </c>
      <c r="I188" s="87" t="n">
        <v>46239</v>
      </c>
      <c r="J188" s="87" t="n">
        <v>46242</v>
      </c>
      <c r="K188" s="87" t="n">
        <v>46243</v>
      </c>
      <c r="L188" t="n">
        <v>0</v>
      </c>
      <c r="M188" t="inlineStr">
        <is>
          <t>The student was given a Grader issued 0 on W05 Code: Recursion</t>
        </is>
      </c>
      <c r="N188" t="inlineStr">
        <is>
          <t>Grader issued 0 for W05 Code: Recursion. Log into Canvas and see the grader comments. Work with the student to help resubmit.</t>
        </is>
      </c>
    </row>
    <row r="189">
      <c r="A189" t="inlineStr">
        <is>
          <t>CSE212</t>
        </is>
      </c>
      <c r="B189" t="inlineStr">
        <is>
          <t>High Performance</t>
        </is>
      </c>
      <c r="C189" t="inlineStr">
        <is>
          <t>W05 Code: Recursion</t>
        </is>
      </c>
      <c r="D189" t="n">
        <v>6</v>
      </c>
      <c r="E189" t="n">
        <v>5</v>
      </c>
      <c r="F189" t="n">
        <v>100</v>
      </c>
      <c r="G189" t="n">
        <v>0.9</v>
      </c>
      <c r="H189" t="inlineStr">
        <is>
          <t>y</t>
        </is>
      </c>
      <c r="I189" s="87" t="n">
        <v>46240</v>
      </c>
      <c r="J189" s="87" t="n">
        <v>46243</v>
      </c>
      <c r="K189" s="87" t="n">
        <v>46243</v>
      </c>
      <c r="L189" t="n">
        <v>90</v>
      </c>
      <c r="M189" t="inlineStr">
        <is>
          <t>High Performance: W05 Code: Recursion</t>
        </is>
      </c>
      <c r="N189" t="inlineStr">
        <is>
          <t>Provide Positive Feedback on W05 Code: Recursion</t>
        </is>
      </c>
    </row>
    <row r="190">
      <c r="A190" t="inlineStr">
        <is>
          <t>CSE212</t>
        </is>
      </c>
      <c r="B190" t="inlineStr">
        <is>
          <t>Low Performance</t>
        </is>
      </c>
      <c r="C190" t="inlineStr">
        <is>
          <t>W05 Code: Recursion</t>
        </is>
      </c>
      <c r="D190" t="n">
        <v>6</v>
      </c>
      <c r="E190" t="n">
        <v>5</v>
      </c>
      <c r="F190" t="n">
        <v>100</v>
      </c>
      <c r="G190" t="n">
        <v>0.7</v>
      </c>
      <c r="H190" t="inlineStr">
        <is>
          <t>y</t>
        </is>
      </c>
      <c r="I190" s="87" t="n">
        <v>46240</v>
      </c>
      <c r="J190" s="87" t="n">
        <v>46243</v>
      </c>
      <c r="K190" s="87" t="n">
        <v>46243</v>
      </c>
      <c r="L190" t="n">
        <v>70</v>
      </c>
      <c r="M190" t="inlineStr">
        <is>
          <t>Low Performance: W05 Code: Recursion</t>
        </is>
      </c>
      <c r="N190" t="inlineStr">
        <is>
          <t xml:space="preserve">At Risk. Student scored below 70% on W05 Code: Recursion. Check in to see how you can help. </t>
        </is>
      </c>
    </row>
    <row r="191">
      <c r="A191" t="inlineStr">
        <is>
          <t>CSE212</t>
        </is>
      </c>
      <c r="B191" t="inlineStr">
        <is>
          <t>Scheduled - Classwide</t>
        </is>
      </c>
      <c r="C191" t="inlineStr">
        <is>
          <t>Registration Reminder 2</t>
        </is>
      </c>
      <c r="D191" t="n">
        <v>7</v>
      </c>
      <c r="E191" t="n">
        <v>1</v>
      </c>
      <c r="H191" t="inlineStr">
        <is>
          <t>y</t>
        </is>
      </c>
      <c r="I191" s="87" t="n">
        <v>46243</v>
      </c>
      <c r="J191" s="87" t="n">
        <v>46246</v>
      </c>
      <c r="K191" s="87" t="n">
        <v>46250</v>
      </c>
      <c r="L191" t="n">
        <v>0</v>
      </c>
      <c r="M191" t="inlineStr">
        <is>
          <t>Registration Reminder 2</t>
        </is>
      </c>
      <c r="N191" t="inlineStr">
        <is>
          <t>Send a message to all students, reminding them that registration for the next block is still open, but will be closing soon. Encourage them to go in and register as soon as possible.</t>
        </is>
      </c>
    </row>
    <row r="192">
      <c r="A192" t="inlineStr">
        <is>
          <t>CSE212</t>
        </is>
      </c>
      <c r="B192" t="inlineStr">
        <is>
          <t>Scheduled - Classwide</t>
        </is>
      </c>
      <c r="C192" t="inlineStr">
        <is>
          <t>End of Block Reminder</t>
        </is>
      </c>
      <c r="D192" t="n">
        <v>7</v>
      </c>
      <c r="E192" t="n">
        <v>2</v>
      </c>
      <c r="H192" t="inlineStr">
        <is>
          <t>y</t>
        </is>
      </c>
      <c r="I192" s="87" t="n">
        <v>46244</v>
      </c>
      <c r="J192" s="87" t="n">
        <v>46247</v>
      </c>
      <c r="K192" s="87" t="n">
        <v>46250</v>
      </c>
      <c r="L192" t="n">
        <v>0</v>
      </c>
      <c r="M192" t="inlineStr">
        <is>
          <t>End of Block Reminder</t>
        </is>
      </c>
      <c r="N192" t="inlineStr">
        <is>
          <t>Remind Students the course will be closing, submit assignments by deadline, complete End-of-Course Evaluation</t>
        </is>
      </c>
    </row>
    <row r="193">
      <c r="I193" s="87" t="n">
        <v>46193</v>
      </c>
      <c r="J193" s="87" t="n">
        <v>46196</v>
      </c>
      <c r="K193" s="87" t="n">
        <v>46194</v>
      </c>
      <c r="L193" t="n">
        <v>0</v>
      </c>
    </row>
    <row r="194">
      <c r="I194" s="87" t="n">
        <v>46193</v>
      </c>
      <c r="J194" s="87" t="n">
        <v>46196</v>
      </c>
      <c r="K194" s="87" t="n">
        <v>46194</v>
      </c>
      <c r="L194" t="n">
        <v>0</v>
      </c>
    </row>
    <row r="195">
      <c r="I195" s="87" t="n">
        <v>46193</v>
      </c>
      <c r="J195" s="87" t="n">
        <v>46196</v>
      </c>
      <c r="K195" s="87" t="n">
        <v>46194</v>
      </c>
      <c r="L195" t="n">
        <v>0</v>
      </c>
    </row>
    <row r="196">
      <c r="I196" s="87" t="n">
        <v>46193</v>
      </c>
      <c r="J196" s="87" t="n">
        <v>46196</v>
      </c>
      <c r="K196" s="87" t="n">
        <v>46194</v>
      </c>
      <c r="L196" t="n">
        <v>0</v>
      </c>
    </row>
    <row r="197">
      <c r="I197" s="87" t="n">
        <v>46193</v>
      </c>
      <c r="J197" s="87" t="n">
        <v>46196</v>
      </c>
      <c r="K197" s="87" t="n">
        <v>46194</v>
      </c>
      <c r="L197" t="n">
        <v>0</v>
      </c>
    </row>
    <row r="198">
      <c r="I198" s="87" t="n">
        <v>46193</v>
      </c>
      <c r="J198" s="87" t="n">
        <v>46196</v>
      </c>
      <c r="K198" s="87" t="n">
        <v>46194</v>
      </c>
      <c r="L198" t="n">
        <v>0</v>
      </c>
    </row>
    <row r="199">
      <c r="I199" s="87" t="n">
        <v>46193</v>
      </c>
      <c r="J199" s="87" t="n">
        <v>46196</v>
      </c>
      <c r="K199" s="87" t="n">
        <v>46194</v>
      </c>
      <c r="L199" t="n">
        <v>0</v>
      </c>
    </row>
    <row r="200">
      <c r="I200" s="87" t="n">
        <v>46193</v>
      </c>
      <c r="J200" s="87" t="n">
        <v>46196</v>
      </c>
      <c r="K200" s="87" t="n">
        <v>46194</v>
      </c>
      <c r="L200" t="n">
        <v>0</v>
      </c>
    </row>
    <row r="201">
      <c r="I201" s="87" t="n">
        <v>46193</v>
      </c>
      <c r="J201" s="87" t="n">
        <v>46196</v>
      </c>
      <c r="K201" s="87" t="n">
        <v>46194</v>
      </c>
      <c r="L201" t="n">
        <v>0</v>
      </c>
    </row>
    <row r="202">
      <c r="I202" s="87" t="n">
        <v>46193</v>
      </c>
      <c r="J202" s="87" t="n">
        <v>46196</v>
      </c>
      <c r="K202" s="87" t="n">
        <v>46194</v>
      </c>
      <c r="L202" t="n">
        <v>0</v>
      </c>
    </row>
    <row r="203">
      <c r="I203" s="87" t="n">
        <v>46193</v>
      </c>
      <c r="J203" s="87" t="n">
        <v>46196</v>
      </c>
      <c r="K203" s="87" t="n">
        <v>46194</v>
      </c>
      <c r="L203" t="n">
        <v>0</v>
      </c>
    </row>
    <row r="204">
      <c r="I204" s="87" t="n">
        <v>46193</v>
      </c>
      <c r="J204" s="87" t="n">
        <v>46196</v>
      </c>
      <c r="K204" s="87" t="n">
        <v>46194</v>
      </c>
      <c r="L204" t="n">
        <v>0</v>
      </c>
    </row>
    <row r="205">
      <c r="I205" s="87" t="n">
        <v>46193</v>
      </c>
      <c r="J205" s="87" t="n">
        <v>46196</v>
      </c>
      <c r="K205" s="87" t="n">
        <v>46194</v>
      </c>
      <c r="L205" t="n">
        <v>0</v>
      </c>
    </row>
    <row r="206">
      <c r="I206" s="87" t="n">
        <v>46193</v>
      </c>
      <c r="J206" s="87" t="n">
        <v>46196</v>
      </c>
      <c r="K206" s="87" t="n">
        <v>46194</v>
      </c>
      <c r="L206" t="n">
        <v>0</v>
      </c>
    </row>
    <row r="207">
      <c r="I207" s="87" t="n">
        <v>46193</v>
      </c>
      <c r="J207" s="87" t="n">
        <v>46196</v>
      </c>
      <c r="K207" s="87" t="n">
        <v>46194</v>
      </c>
      <c r="L207" t="n">
        <v>0</v>
      </c>
    </row>
    <row r="208">
      <c r="I208" s="87" t="n">
        <v>46193</v>
      </c>
      <c r="J208" s="87" t="n">
        <v>46196</v>
      </c>
      <c r="K208" s="87" t="n">
        <v>46194</v>
      </c>
      <c r="L208" t="n">
        <v>0</v>
      </c>
    </row>
    <row r="209">
      <c r="I209" s="87" t="n">
        <v>46193</v>
      </c>
      <c r="J209" s="87" t="n">
        <v>46196</v>
      </c>
      <c r="K209" s="87" t="n">
        <v>46194</v>
      </c>
      <c r="L209" t="n">
        <v>0</v>
      </c>
    </row>
    <row r="210">
      <c r="I210" s="87" t="n">
        <v>46193</v>
      </c>
      <c r="J210" s="87" t="n">
        <v>46196</v>
      </c>
      <c r="K210" s="87" t="n">
        <v>46194</v>
      </c>
      <c r="L210" t="n">
        <v>0</v>
      </c>
    </row>
    <row r="211">
      <c r="I211" s="87" t="n">
        <v>46193</v>
      </c>
      <c r="J211" s="87" t="n">
        <v>46196</v>
      </c>
      <c r="K211" s="87" t="n">
        <v>46194</v>
      </c>
      <c r="L211" t="n">
        <v>0</v>
      </c>
    </row>
    <row r="212">
      <c r="I212" s="87" t="n">
        <v>46193</v>
      </c>
      <c r="J212" s="87" t="n">
        <v>46196</v>
      </c>
      <c r="K212" s="87" t="n">
        <v>46194</v>
      </c>
      <c r="L212" t="n">
        <v>0</v>
      </c>
    </row>
    <row r="213">
      <c r="I213" s="87" t="n">
        <v>46193</v>
      </c>
      <c r="J213" s="87" t="n">
        <v>46196</v>
      </c>
      <c r="K213" s="87" t="n">
        <v>46194</v>
      </c>
      <c r="L213" t="n">
        <v>0</v>
      </c>
    </row>
    <row r="214">
      <c r="I214" s="87" t="n">
        <v>46193</v>
      </c>
      <c r="J214" s="87" t="n">
        <v>46196</v>
      </c>
      <c r="K214" s="87" t="n">
        <v>46194</v>
      </c>
      <c r="L214" t="n">
        <v>0</v>
      </c>
    </row>
    <row r="215">
      <c r="I215" s="87" t="n">
        <v>46193</v>
      </c>
      <c r="J215" s="87" t="n">
        <v>46196</v>
      </c>
      <c r="K215" s="87" t="n">
        <v>46194</v>
      </c>
      <c r="L215" t="n">
        <v>0</v>
      </c>
    </row>
    <row r="216">
      <c r="I216" s="87" t="n">
        <v>46193</v>
      </c>
      <c r="J216" s="87" t="n">
        <v>46196</v>
      </c>
      <c r="K216" s="87" t="n">
        <v>46194</v>
      </c>
      <c r="L216" t="n">
        <v>0</v>
      </c>
    </row>
    <row r="217">
      <c r="I217" s="87" t="n">
        <v>46193</v>
      </c>
      <c r="J217" s="87" t="n">
        <v>46196</v>
      </c>
      <c r="K217" s="87" t="n">
        <v>46194</v>
      </c>
      <c r="L217" t="n">
        <v>0</v>
      </c>
    </row>
    <row r="218">
      <c r="I218" s="87" t="n">
        <v>46193</v>
      </c>
      <c r="J218" s="87" t="n">
        <v>46196</v>
      </c>
      <c r="K218" s="87" t="n">
        <v>46194</v>
      </c>
      <c r="L218" t="n">
        <v>0</v>
      </c>
    </row>
    <row r="219">
      <c r="I219" s="87" t="n">
        <v>46193</v>
      </c>
      <c r="J219" s="87" t="n">
        <v>46196</v>
      </c>
      <c r="K219" s="87" t="n">
        <v>46194</v>
      </c>
      <c r="L219" t="n">
        <v>0</v>
      </c>
    </row>
    <row r="220">
      <c r="I220" s="87" t="n">
        <v>46193</v>
      </c>
      <c r="J220" s="87" t="n">
        <v>46196</v>
      </c>
      <c r="K220" s="87" t="n">
        <v>46194</v>
      </c>
      <c r="L220" t="n">
        <v>0</v>
      </c>
    </row>
    <row r="221">
      <c r="I221" s="87" t="n">
        <v>46193</v>
      </c>
      <c r="J221" s="87" t="n">
        <v>46196</v>
      </c>
      <c r="K221" s="87" t="n">
        <v>46194</v>
      </c>
      <c r="L221" t="n">
        <v>0</v>
      </c>
    </row>
    <row r="222">
      <c r="I222" s="87" t="n">
        <v>46193</v>
      </c>
      <c r="J222" s="87" t="n">
        <v>46196</v>
      </c>
      <c r="K222" s="87" t="n">
        <v>46194</v>
      </c>
      <c r="L222" t="n">
        <v>0</v>
      </c>
    </row>
    <row r="223">
      <c r="I223" s="87" t="n">
        <v>46193</v>
      </c>
      <c r="J223" s="87" t="n">
        <v>46196</v>
      </c>
      <c r="K223" s="87" t="n">
        <v>46194</v>
      </c>
      <c r="L223" t="n">
        <v>0</v>
      </c>
    </row>
    <row r="224">
      <c r="I224" s="87" t="n">
        <v>46193</v>
      </c>
      <c r="J224" s="87" t="n">
        <v>46196</v>
      </c>
      <c r="K224" s="87" t="n">
        <v>46194</v>
      </c>
      <c r="L224" t="n">
        <v>0</v>
      </c>
    </row>
    <row r="225">
      <c r="I225" s="87" t="n">
        <v>46193</v>
      </c>
      <c r="J225" s="87" t="n">
        <v>46196</v>
      </c>
      <c r="K225" s="87" t="n">
        <v>46194</v>
      </c>
      <c r="L225" t="n">
        <v>0</v>
      </c>
    </row>
    <row r="226">
      <c r="I226" s="87" t="n">
        <v>46193</v>
      </c>
      <c r="J226" s="87" t="n">
        <v>46196</v>
      </c>
      <c r="K226" s="87" t="n">
        <v>46194</v>
      </c>
      <c r="L226" t="n">
        <v>0</v>
      </c>
    </row>
    <row r="227">
      <c r="I227" s="87" t="n">
        <v>46193</v>
      </c>
      <c r="J227" s="87" t="n">
        <v>46196</v>
      </c>
      <c r="K227" s="87" t="n">
        <v>46194</v>
      </c>
      <c r="L227" t="n">
        <v>0</v>
      </c>
    </row>
    <row r="228">
      <c r="I228" s="87" t="n">
        <v>46193</v>
      </c>
      <c r="J228" s="87" t="n">
        <v>46196</v>
      </c>
      <c r="K228" s="87" t="n">
        <v>46194</v>
      </c>
      <c r="L228" t="n">
        <v>0</v>
      </c>
    </row>
    <row r="229">
      <c r="I229" s="87" t="n">
        <v>46193</v>
      </c>
      <c r="J229" s="87" t="n">
        <v>46196</v>
      </c>
      <c r="K229" s="87" t="n">
        <v>46194</v>
      </c>
      <c r="L229" t="n">
        <v>0</v>
      </c>
    </row>
    <row r="230">
      <c r="I230" s="87" t="n">
        <v>46193</v>
      </c>
      <c r="J230" s="87" t="n">
        <v>46196</v>
      </c>
      <c r="K230" s="87" t="n">
        <v>46194</v>
      </c>
      <c r="L230" t="n">
        <v>0</v>
      </c>
    </row>
    <row r="231">
      <c r="I231" s="87" t="n">
        <v>46193</v>
      </c>
      <c r="J231" s="87" t="n">
        <v>46196</v>
      </c>
      <c r="K231" s="87" t="n">
        <v>46194</v>
      </c>
      <c r="L231" t="n">
        <v>0</v>
      </c>
    </row>
    <row r="232">
      <c r="I232" s="87" t="n">
        <v>46193</v>
      </c>
      <c r="J232" s="87" t="n">
        <v>46196</v>
      </c>
      <c r="K232" s="87" t="n">
        <v>46194</v>
      </c>
      <c r="L232" t="n">
        <v>0</v>
      </c>
    </row>
    <row r="233">
      <c r="I233" s="87" t="n">
        <v>46193</v>
      </c>
      <c r="J233" s="87" t="n">
        <v>46196</v>
      </c>
      <c r="K233" s="87" t="n">
        <v>46194</v>
      </c>
      <c r="L233" t="n">
        <v>0</v>
      </c>
    </row>
    <row r="234">
      <c r="I234" s="87" t="n">
        <v>46193</v>
      </c>
      <c r="J234" s="87" t="n">
        <v>46196</v>
      </c>
      <c r="K234" s="87" t="n">
        <v>46194</v>
      </c>
      <c r="L234" t="n">
        <v>0</v>
      </c>
    </row>
    <row r="235">
      <c r="I235" s="87" t="n">
        <v>46193</v>
      </c>
      <c r="J235" s="87" t="n">
        <v>46196</v>
      </c>
      <c r="K235" s="87" t="n">
        <v>46194</v>
      </c>
      <c r="L235" t="n">
        <v>0</v>
      </c>
    </row>
    <row r="236">
      <c r="I236" s="87" t="n">
        <v>46193</v>
      </c>
      <c r="J236" s="87" t="n">
        <v>46196</v>
      </c>
      <c r="K236" s="87" t="n">
        <v>46194</v>
      </c>
      <c r="L236" t="n">
        <v>0</v>
      </c>
    </row>
    <row r="237">
      <c r="I237" s="87" t="n">
        <v>46193</v>
      </c>
      <c r="J237" s="87" t="n">
        <v>46196</v>
      </c>
      <c r="K237" s="87" t="n">
        <v>46194</v>
      </c>
      <c r="L237" t="n">
        <v>0</v>
      </c>
    </row>
    <row r="238">
      <c r="I238" s="87" t="n">
        <v>46193</v>
      </c>
      <c r="J238" s="87" t="n">
        <v>46196</v>
      </c>
      <c r="K238" s="87" t="n">
        <v>46194</v>
      </c>
      <c r="L238" t="n">
        <v>0</v>
      </c>
    </row>
    <row r="239">
      <c r="I239" s="87" t="n">
        <v>46193</v>
      </c>
      <c r="J239" s="87" t="n">
        <v>46196</v>
      </c>
      <c r="K239" s="87" t="n">
        <v>46194</v>
      </c>
      <c r="L239" t="n">
        <v>0</v>
      </c>
    </row>
    <row r="240">
      <c r="I240" s="87" t="n">
        <v>46193</v>
      </c>
      <c r="J240" s="87" t="n">
        <v>46196</v>
      </c>
      <c r="K240" s="87" t="n">
        <v>46194</v>
      </c>
      <c r="L240" t="n">
        <v>0</v>
      </c>
    </row>
    <row r="241">
      <c r="I241" s="87" t="n">
        <v>46193</v>
      </c>
      <c r="J241" s="87" t="n">
        <v>46196</v>
      </c>
      <c r="K241" s="87" t="n">
        <v>46194</v>
      </c>
      <c r="L241" t="n">
        <v>0</v>
      </c>
    </row>
    <row r="242">
      <c r="I242" s="87" t="n">
        <v>46193</v>
      </c>
      <c r="J242" s="87" t="n">
        <v>46196</v>
      </c>
      <c r="K242" s="87" t="n">
        <v>46194</v>
      </c>
      <c r="L242" t="n">
        <v>0</v>
      </c>
    </row>
    <row r="243">
      <c r="I243" s="87" t="n">
        <v>46193</v>
      </c>
      <c r="J243" s="87" t="n">
        <v>46196</v>
      </c>
      <c r="K243" s="87" t="n">
        <v>46194</v>
      </c>
      <c r="L243" t="n">
        <v>0</v>
      </c>
    </row>
    <row r="244">
      <c r="I244" s="87" t="n">
        <v>46193</v>
      </c>
      <c r="J244" s="87" t="n">
        <v>46196</v>
      </c>
      <c r="K244" s="87" t="n">
        <v>46194</v>
      </c>
      <c r="L244" t="n">
        <v>0</v>
      </c>
    </row>
    <row r="245">
      <c r="I245" s="87" t="n">
        <v>46193</v>
      </c>
      <c r="J245" s="87" t="n">
        <v>46196</v>
      </c>
      <c r="K245" s="87" t="n">
        <v>46194</v>
      </c>
      <c r="L245" t="n">
        <v>0</v>
      </c>
    </row>
    <row r="246">
      <c r="I246" s="87" t="n">
        <v>46193</v>
      </c>
      <c r="J246" s="87" t="n">
        <v>46196</v>
      </c>
      <c r="K246" s="87" t="n">
        <v>46194</v>
      </c>
      <c r="L246" t="n">
        <v>0</v>
      </c>
    </row>
    <row r="247">
      <c r="I247" s="87" t="n">
        <v>46193</v>
      </c>
      <c r="J247" s="87" t="n">
        <v>46196</v>
      </c>
      <c r="K247" s="87" t="n">
        <v>46194</v>
      </c>
      <c r="L247" t="n">
        <v>0</v>
      </c>
    </row>
    <row r="248">
      <c r="I248" s="87" t="n">
        <v>46193</v>
      </c>
      <c r="J248" s="87" t="n">
        <v>46196</v>
      </c>
      <c r="K248" s="87" t="n">
        <v>46194</v>
      </c>
      <c r="L248" t="n">
        <v>0</v>
      </c>
    </row>
    <row r="249">
      <c r="I249" s="87" t="n">
        <v>46193</v>
      </c>
      <c r="J249" s="87" t="n">
        <v>46196</v>
      </c>
      <c r="K249" s="87" t="n">
        <v>46194</v>
      </c>
      <c r="L249" t="n">
        <v>0</v>
      </c>
    </row>
    <row r="250">
      <c r="I250" s="87" t="n">
        <v>46193</v>
      </c>
      <c r="J250" s="87" t="n">
        <v>46196</v>
      </c>
      <c r="K250" s="87" t="n">
        <v>46194</v>
      </c>
      <c r="L250" t="n">
        <v>0</v>
      </c>
    </row>
    <row r="251">
      <c r="I251" s="87" t="n">
        <v>46193</v>
      </c>
      <c r="J251" s="87" t="n">
        <v>46196</v>
      </c>
      <c r="K251" s="87" t="n">
        <v>46194</v>
      </c>
      <c r="L251" t="n">
        <v>0</v>
      </c>
    </row>
    <row r="252">
      <c r="I252" s="87" t="n">
        <v>46193</v>
      </c>
      <c r="J252" s="87" t="n">
        <v>46196</v>
      </c>
      <c r="K252" s="87" t="n">
        <v>46194</v>
      </c>
      <c r="L252" t="n">
        <v>0</v>
      </c>
    </row>
    <row r="253">
      <c r="I253" s="87" t="n">
        <v>46193</v>
      </c>
      <c r="J253" s="87" t="n">
        <v>46196</v>
      </c>
      <c r="K253" s="87" t="n">
        <v>46194</v>
      </c>
      <c r="L253" t="n">
        <v>0</v>
      </c>
    </row>
    <row r="254">
      <c r="I254" s="87" t="n">
        <v>46193</v>
      </c>
      <c r="J254" s="87" t="n">
        <v>46196</v>
      </c>
      <c r="K254" s="87" t="n">
        <v>46194</v>
      </c>
      <c r="L254" t="n">
        <v>0</v>
      </c>
    </row>
    <row r="255">
      <c r="I255" s="87" t="n">
        <v>46193</v>
      </c>
      <c r="J255" s="87" t="n">
        <v>46196</v>
      </c>
      <c r="K255" s="87" t="n">
        <v>46194</v>
      </c>
      <c r="L255" t="n">
        <v>0</v>
      </c>
    </row>
    <row r="256">
      <c r="I256" s="87" t="n">
        <v>46193</v>
      </c>
      <c r="J256" s="87" t="n">
        <v>46196</v>
      </c>
      <c r="K256" s="87" t="n">
        <v>46194</v>
      </c>
      <c r="L256" t="n">
        <v>0</v>
      </c>
    </row>
    <row r="257">
      <c r="I257" s="87" t="n">
        <v>46193</v>
      </c>
      <c r="J257" s="87" t="n">
        <v>46196</v>
      </c>
      <c r="K257" s="87" t="n">
        <v>46194</v>
      </c>
      <c r="L257" t="n">
        <v>0</v>
      </c>
    </row>
    <row r="258">
      <c r="I258" s="87" t="n">
        <v>46193</v>
      </c>
      <c r="J258" s="87" t="n">
        <v>46196</v>
      </c>
      <c r="K258" s="87" t="n">
        <v>46194</v>
      </c>
      <c r="L258" t="n">
        <v>0</v>
      </c>
    </row>
    <row r="259">
      <c r="I259" s="87" t="n">
        <v>46193</v>
      </c>
      <c r="J259" s="87" t="n">
        <v>46196</v>
      </c>
      <c r="K259" s="87" t="n">
        <v>46194</v>
      </c>
      <c r="L259" t="n">
        <v>0</v>
      </c>
    </row>
    <row r="260">
      <c r="I260" s="87" t="n">
        <v>46193</v>
      </c>
      <c r="J260" s="87" t="n">
        <v>46196</v>
      </c>
      <c r="K260" s="87" t="n">
        <v>46194</v>
      </c>
      <c r="L260" t="n">
        <v>0</v>
      </c>
    </row>
    <row r="261">
      <c r="I261" s="87" t="n">
        <v>46193</v>
      </c>
      <c r="J261" s="87" t="n">
        <v>46196</v>
      </c>
      <c r="K261" s="87" t="n">
        <v>46194</v>
      </c>
      <c r="L261" t="n">
        <v>0</v>
      </c>
    </row>
    <row r="262">
      <c r="I262" s="87" t="n">
        <v>46193</v>
      </c>
      <c r="J262" s="87" t="n">
        <v>46196</v>
      </c>
      <c r="K262" s="87" t="n">
        <v>46194</v>
      </c>
      <c r="L262" t="n">
        <v>0</v>
      </c>
    </row>
    <row r="263">
      <c r="I263" s="87" t="n">
        <v>46193</v>
      </c>
      <c r="J263" s="87" t="n">
        <v>46196</v>
      </c>
      <c r="K263" s="87" t="n">
        <v>46194</v>
      </c>
      <c r="L263" t="n">
        <v>0</v>
      </c>
    </row>
    <row r="264">
      <c r="I264" s="87" t="n">
        <v>46193</v>
      </c>
      <c r="J264" s="87" t="n">
        <v>46196</v>
      </c>
      <c r="K264" s="87" t="n">
        <v>46194</v>
      </c>
      <c r="L264" t="n">
        <v>0</v>
      </c>
    </row>
    <row r="265">
      <c r="I265" s="87" t="n">
        <v>46193</v>
      </c>
      <c r="J265" s="87" t="n">
        <v>46196</v>
      </c>
      <c r="K265" s="87" t="n">
        <v>46194</v>
      </c>
      <c r="L265" t="n">
        <v>0</v>
      </c>
    </row>
    <row r="266">
      <c r="I266" s="87" t="n">
        <v>46193</v>
      </c>
      <c r="J266" s="87" t="n">
        <v>46196</v>
      </c>
      <c r="K266" s="87" t="n">
        <v>46194</v>
      </c>
      <c r="L266" t="n">
        <v>0</v>
      </c>
    </row>
    <row r="267">
      <c r="I267" s="87" t="n">
        <v>46193</v>
      </c>
      <c r="J267" s="87" t="n">
        <v>46196</v>
      </c>
      <c r="K267" s="87" t="n">
        <v>46194</v>
      </c>
      <c r="L267" t="n">
        <v>0</v>
      </c>
    </row>
    <row r="268">
      <c r="I268" s="87" t="n">
        <v>46193</v>
      </c>
      <c r="J268" s="87" t="n">
        <v>46196</v>
      </c>
      <c r="K268" s="87" t="n">
        <v>46194</v>
      </c>
      <c r="L268" t="n">
        <v>0</v>
      </c>
    </row>
    <row r="269">
      <c r="I269" s="87" t="n">
        <v>46193</v>
      </c>
      <c r="J269" s="87" t="n">
        <v>46196</v>
      </c>
      <c r="K269" s="87" t="n">
        <v>46194</v>
      </c>
      <c r="L269" t="n">
        <v>0</v>
      </c>
    </row>
    <row r="270">
      <c r="I270" s="87" t="n">
        <v>46193</v>
      </c>
      <c r="J270" s="87" t="n">
        <v>46196</v>
      </c>
      <c r="K270" s="87" t="n">
        <v>46194</v>
      </c>
      <c r="L270" t="n">
        <v>0</v>
      </c>
    </row>
    <row r="271">
      <c r="I271" s="87" t="n">
        <v>46193</v>
      </c>
      <c r="J271" s="87" t="n">
        <v>46196</v>
      </c>
      <c r="K271" s="87" t="n">
        <v>46194</v>
      </c>
      <c r="L271" t="n">
        <v>0</v>
      </c>
    </row>
    <row r="272">
      <c r="I272" s="87" t="n">
        <v>46193</v>
      </c>
      <c r="J272" s="87" t="n">
        <v>46196</v>
      </c>
      <c r="K272" s="87" t="n">
        <v>46194</v>
      </c>
      <c r="L272" t="n">
        <v>0</v>
      </c>
    </row>
    <row r="273">
      <c r="I273" s="87" t="n">
        <v>46193</v>
      </c>
      <c r="J273" s="87" t="n">
        <v>46196</v>
      </c>
      <c r="K273" s="87" t="n">
        <v>46194</v>
      </c>
      <c r="L273" t="n">
        <v>0</v>
      </c>
    </row>
    <row r="274">
      <c r="I274" s="87" t="n">
        <v>46193</v>
      </c>
      <c r="J274" s="87" t="n">
        <v>46196</v>
      </c>
      <c r="K274" s="87" t="n">
        <v>46194</v>
      </c>
      <c r="L274" t="n">
        <v>0</v>
      </c>
    </row>
    <row r="275">
      <c r="I275" s="87" t="n">
        <v>46193</v>
      </c>
      <c r="J275" s="87" t="n">
        <v>46196</v>
      </c>
      <c r="K275" s="87" t="n">
        <v>46194</v>
      </c>
      <c r="L275" t="n">
        <v>0</v>
      </c>
    </row>
    <row r="276">
      <c r="I276" s="87" t="n">
        <v>46193</v>
      </c>
      <c r="J276" s="87" t="n">
        <v>46196</v>
      </c>
      <c r="K276" s="87" t="n">
        <v>46194</v>
      </c>
      <c r="L276" t="n">
        <v>0</v>
      </c>
    </row>
    <row r="277">
      <c r="I277" s="87" t="n">
        <v>46193</v>
      </c>
      <c r="J277" s="87" t="n">
        <v>46196</v>
      </c>
      <c r="K277" s="87" t="n">
        <v>46194</v>
      </c>
      <c r="L277" t="n">
        <v>0</v>
      </c>
    </row>
    <row r="278">
      <c r="I278" s="87" t="n">
        <v>46193</v>
      </c>
      <c r="J278" s="87" t="n">
        <v>46196</v>
      </c>
      <c r="K278" s="87" t="n">
        <v>46194</v>
      </c>
      <c r="L278" t="n">
        <v>0</v>
      </c>
    </row>
    <row r="279">
      <c r="I279" s="87" t="n">
        <v>46193</v>
      </c>
      <c r="J279" s="87" t="n">
        <v>46196</v>
      </c>
      <c r="K279" s="87" t="n">
        <v>46194</v>
      </c>
      <c r="L279" t="n">
        <v>0</v>
      </c>
    </row>
    <row r="280">
      <c r="I280" s="87" t="n">
        <v>46193</v>
      </c>
      <c r="J280" s="87" t="n">
        <v>46196</v>
      </c>
      <c r="K280" s="87" t="n">
        <v>46194</v>
      </c>
      <c r="L280" t="n">
        <v>0</v>
      </c>
    </row>
    <row r="281">
      <c r="I281" s="87" t="n">
        <v>46193</v>
      </c>
      <c r="J281" s="87" t="n">
        <v>46196</v>
      </c>
      <c r="K281" s="87" t="n">
        <v>46194</v>
      </c>
      <c r="L281" t="n">
        <v>0</v>
      </c>
    </row>
    <row r="282">
      <c r="I282" s="87" t="n">
        <v>46193</v>
      </c>
      <c r="J282" s="87" t="n">
        <v>46196</v>
      </c>
      <c r="K282" s="87" t="n">
        <v>46194</v>
      </c>
      <c r="L282" t="n">
        <v>0</v>
      </c>
    </row>
    <row r="283">
      <c r="I283" s="87" t="n">
        <v>46193</v>
      </c>
      <c r="J283" s="87" t="n">
        <v>46196</v>
      </c>
      <c r="K283" s="87" t="n">
        <v>46194</v>
      </c>
      <c r="L283" t="n">
        <v>0</v>
      </c>
    </row>
    <row r="284">
      <c r="I284" s="87" t="n">
        <v>46193</v>
      </c>
      <c r="J284" s="87" t="n">
        <v>46196</v>
      </c>
      <c r="K284" s="87" t="n">
        <v>46194</v>
      </c>
      <c r="L284" t="n">
        <v>0</v>
      </c>
    </row>
    <row r="285">
      <c r="I285" s="87" t="n">
        <v>46193</v>
      </c>
      <c r="J285" s="87" t="n">
        <v>46196</v>
      </c>
      <c r="K285" s="87" t="n">
        <v>46194</v>
      </c>
      <c r="L285" t="n">
        <v>0</v>
      </c>
    </row>
    <row r="286">
      <c r="I286" s="87" t="n">
        <v>46193</v>
      </c>
      <c r="J286" s="87" t="n">
        <v>46196</v>
      </c>
      <c r="K286" s="87" t="n">
        <v>46194</v>
      </c>
      <c r="L286" t="n">
        <v>0</v>
      </c>
    </row>
    <row r="287">
      <c r="I287" s="87" t="n">
        <v>46193</v>
      </c>
      <c r="J287" s="87" t="n">
        <v>46196</v>
      </c>
      <c r="K287" s="87" t="n">
        <v>46194</v>
      </c>
      <c r="L287" t="n">
        <v>0</v>
      </c>
    </row>
    <row r="288">
      <c r="I288" s="87" t="n">
        <v>46193</v>
      </c>
      <c r="J288" s="87" t="n">
        <v>46196</v>
      </c>
      <c r="K288" s="87" t="n">
        <v>46194</v>
      </c>
      <c r="L288" t="n">
        <v>0</v>
      </c>
    </row>
    <row r="289">
      <c r="I289" s="87" t="n">
        <v>46193</v>
      </c>
      <c r="J289" s="87" t="n">
        <v>46196</v>
      </c>
      <c r="K289" s="87" t="n">
        <v>46194</v>
      </c>
      <c r="L289" t="n">
        <v>0</v>
      </c>
    </row>
    <row r="290">
      <c r="I290" s="87" t="n">
        <v>46193</v>
      </c>
      <c r="J290" s="87" t="n">
        <v>46196</v>
      </c>
      <c r="K290" s="87" t="n">
        <v>46194</v>
      </c>
      <c r="L290" t="n">
        <v>0</v>
      </c>
    </row>
    <row r="291">
      <c r="I291" s="87" t="n">
        <v>46193</v>
      </c>
      <c r="J291" s="87" t="n">
        <v>46196</v>
      </c>
      <c r="K291" s="87" t="n">
        <v>46194</v>
      </c>
      <c r="L291" t="n">
        <v>0</v>
      </c>
    </row>
    <row r="292">
      <c r="I292" s="87" t="n">
        <v>46193</v>
      </c>
      <c r="J292" s="87" t="n">
        <v>46196</v>
      </c>
      <c r="K292" s="87" t="n">
        <v>46194</v>
      </c>
      <c r="L292" t="n">
        <v>0</v>
      </c>
    </row>
    <row r="293">
      <c r="I293" s="87" t="n">
        <v>46193</v>
      </c>
      <c r="J293" s="87" t="n">
        <v>46196</v>
      </c>
      <c r="K293" s="87" t="n">
        <v>46194</v>
      </c>
      <c r="L293" t="n">
        <v>0</v>
      </c>
    </row>
    <row r="294">
      <c r="I294" s="87" t="n">
        <v>46193</v>
      </c>
      <c r="J294" s="87" t="n">
        <v>46196</v>
      </c>
      <c r="K294" s="87" t="n">
        <v>46194</v>
      </c>
      <c r="L294" t="n">
        <v>0</v>
      </c>
    </row>
    <row r="295">
      <c r="I295" s="87" t="n">
        <v>46193</v>
      </c>
      <c r="J295" s="87" t="n">
        <v>46196</v>
      </c>
      <c r="K295" s="87" t="n">
        <v>46194</v>
      </c>
      <c r="L295" t="n">
        <v>0</v>
      </c>
    </row>
    <row r="296">
      <c r="I296" s="87" t="n">
        <v>46193</v>
      </c>
      <c r="J296" s="87" t="n">
        <v>46196</v>
      </c>
      <c r="K296" s="87" t="n">
        <v>46194</v>
      </c>
      <c r="L296" t="n">
        <v>0</v>
      </c>
    </row>
    <row r="297">
      <c r="I297" s="87" t="n">
        <v>46193</v>
      </c>
      <c r="J297" s="87" t="n">
        <v>46196</v>
      </c>
      <c r="K297" s="87" t="n">
        <v>46194</v>
      </c>
      <c r="L297" t="n">
        <v>0</v>
      </c>
    </row>
    <row r="298">
      <c r="I298" s="87" t="n">
        <v>46193</v>
      </c>
      <c r="J298" s="87" t="n">
        <v>46196</v>
      </c>
      <c r="K298" s="87" t="n">
        <v>46194</v>
      </c>
      <c r="L298" t="n">
        <v>0</v>
      </c>
    </row>
    <row r="299">
      <c r="I299" s="87" t="n">
        <v>46193</v>
      </c>
      <c r="J299" s="87" t="n">
        <v>46196</v>
      </c>
      <c r="K299" s="87" t="n">
        <v>46194</v>
      </c>
      <c r="L299" t="n">
        <v>0</v>
      </c>
    </row>
    <row r="300">
      <c r="I300" s="87" t="n">
        <v>46193</v>
      </c>
      <c r="J300" s="87" t="n">
        <v>46196</v>
      </c>
      <c r="K300" s="87" t="n">
        <v>46194</v>
      </c>
      <c r="L300" t="n">
        <v>0</v>
      </c>
    </row>
    <row r="301">
      <c r="I301" s="87" t="n">
        <v>46193</v>
      </c>
      <c r="J301" s="87" t="n">
        <v>46196</v>
      </c>
      <c r="K301" s="87" t="n">
        <v>46194</v>
      </c>
      <c r="L301" t="n">
        <v>0</v>
      </c>
    </row>
    <row r="302">
      <c r="I302" s="87" t="n">
        <v>46193</v>
      </c>
      <c r="J302" s="87" t="n">
        <v>46196</v>
      </c>
      <c r="K302" s="87" t="n">
        <v>46194</v>
      </c>
      <c r="L302" t="n">
        <v>0</v>
      </c>
    </row>
    <row r="303">
      <c r="I303" s="87" t="n">
        <v>46193</v>
      </c>
      <c r="J303" s="87" t="n">
        <v>46196</v>
      </c>
      <c r="K303" s="87" t="n">
        <v>46194</v>
      </c>
      <c r="L303" t="n">
        <v>0</v>
      </c>
    </row>
    <row r="304">
      <c r="I304" s="87" t="n">
        <v>46193</v>
      </c>
      <c r="J304" s="87" t="n">
        <v>46196</v>
      </c>
      <c r="K304" s="87" t="n">
        <v>46194</v>
      </c>
      <c r="L304" t="n">
        <v>0</v>
      </c>
    </row>
    <row r="305">
      <c r="I305" s="87" t="n">
        <v>46193</v>
      </c>
      <c r="J305" s="87" t="n">
        <v>46196</v>
      </c>
      <c r="K305" s="87" t="n">
        <v>46194</v>
      </c>
      <c r="L305" t="n">
        <v>0</v>
      </c>
    </row>
    <row r="306">
      <c r="I306" s="87" t="n">
        <v>46193</v>
      </c>
      <c r="J306" s="87" t="n">
        <v>46196</v>
      </c>
      <c r="K306" s="87" t="n">
        <v>46194</v>
      </c>
      <c r="L306" t="n">
        <v>0</v>
      </c>
    </row>
    <row r="307">
      <c r="I307" s="87" t="n">
        <v>46193</v>
      </c>
      <c r="J307" s="87" t="n">
        <v>46196</v>
      </c>
      <c r="K307" s="87" t="n">
        <v>46194</v>
      </c>
      <c r="L307" t="n">
        <v>0</v>
      </c>
    </row>
    <row r="308">
      <c r="I308" s="87" t="n">
        <v>46193</v>
      </c>
      <c r="J308" s="87" t="n">
        <v>46196</v>
      </c>
      <c r="K308" s="87" t="n">
        <v>46194</v>
      </c>
      <c r="L308" t="n">
        <v>0</v>
      </c>
    </row>
    <row r="309">
      <c r="I309" s="87" t="n">
        <v>46193</v>
      </c>
      <c r="J309" s="87" t="n">
        <v>46196</v>
      </c>
      <c r="K309" s="87" t="n">
        <v>46194</v>
      </c>
      <c r="L309" t="n">
        <v>0</v>
      </c>
    </row>
    <row r="310">
      <c r="I310" s="87" t="n">
        <v>46193</v>
      </c>
      <c r="J310" s="87" t="n">
        <v>46196</v>
      </c>
      <c r="K310" s="87" t="n">
        <v>46194</v>
      </c>
      <c r="L310" t="n">
        <v>0</v>
      </c>
    </row>
    <row r="311">
      <c r="I311" s="87" t="n">
        <v>46193</v>
      </c>
      <c r="J311" s="87" t="n">
        <v>46196</v>
      </c>
      <c r="K311" s="87" t="n">
        <v>46194</v>
      </c>
      <c r="L311" t="n">
        <v>0</v>
      </c>
    </row>
    <row r="312">
      <c r="I312" s="87" t="n">
        <v>46193</v>
      </c>
      <c r="J312" s="87" t="n">
        <v>46196</v>
      </c>
      <c r="K312" s="87" t="n">
        <v>46194</v>
      </c>
      <c r="L312" t="n">
        <v>0</v>
      </c>
    </row>
    <row r="313">
      <c r="I313" s="87" t="n">
        <v>46193</v>
      </c>
      <c r="J313" s="87" t="n">
        <v>46196</v>
      </c>
      <c r="K313" s="87" t="n">
        <v>46194</v>
      </c>
      <c r="L313" t="n">
        <v>0</v>
      </c>
    </row>
    <row r="314">
      <c r="I314" s="87" t="n">
        <v>46193</v>
      </c>
      <c r="J314" s="87" t="n">
        <v>46196</v>
      </c>
      <c r="K314" s="87" t="n">
        <v>46194</v>
      </c>
      <c r="L314" t="n">
        <v>0</v>
      </c>
    </row>
    <row r="315">
      <c r="I315" s="87" t="n">
        <v>46193</v>
      </c>
      <c r="J315" s="87" t="n">
        <v>46196</v>
      </c>
      <c r="K315" s="87" t="n">
        <v>46194</v>
      </c>
      <c r="L315" t="n">
        <v>0</v>
      </c>
    </row>
    <row r="316">
      <c r="I316" s="87" t="n">
        <v>46193</v>
      </c>
      <c r="J316" s="87" t="n">
        <v>46196</v>
      </c>
      <c r="K316" s="87" t="n">
        <v>46194</v>
      </c>
      <c r="L316" t="n">
        <v>0</v>
      </c>
    </row>
    <row r="317">
      <c r="I317" s="87" t="n">
        <v>46193</v>
      </c>
      <c r="J317" s="87" t="n">
        <v>46196</v>
      </c>
      <c r="K317" s="87" t="n">
        <v>46194</v>
      </c>
      <c r="L317" t="n">
        <v>0</v>
      </c>
    </row>
    <row r="318">
      <c r="I318" s="87" t="n">
        <v>46193</v>
      </c>
      <c r="J318" s="87" t="n">
        <v>46196</v>
      </c>
      <c r="K318" s="87" t="n">
        <v>46194</v>
      </c>
      <c r="L318" t="n">
        <v>0</v>
      </c>
    </row>
    <row r="319">
      <c r="I319" s="87" t="n">
        <v>46193</v>
      </c>
      <c r="J319" s="87" t="n">
        <v>46196</v>
      </c>
      <c r="K319" s="87" t="n">
        <v>46194</v>
      </c>
      <c r="L319" t="n">
        <v>0</v>
      </c>
    </row>
    <row r="320">
      <c r="I320" s="87" t="n">
        <v>46193</v>
      </c>
      <c r="J320" s="87" t="n">
        <v>46196</v>
      </c>
      <c r="K320" s="87" t="n">
        <v>46194</v>
      </c>
      <c r="L320" t="n">
        <v>0</v>
      </c>
    </row>
    <row r="321">
      <c r="I321" s="87" t="n">
        <v>46193</v>
      </c>
      <c r="J321" s="87" t="n">
        <v>46196</v>
      </c>
      <c r="K321" s="87" t="n">
        <v>46194</v>
      </c>
      <c r="L321" t="n">
        <v>0</v>
      </c>
    </row>
    <row r="322">
      <c r="I322" s="87" t="n">
        <v>46193</v>
      </c>
      <c r="J322" s="87" t="n">
        <v>46196</v>
      </c>
      <c r="K322" s="87" t="n">
        <v>46194</v>
      </c>
      <c r="L322" t="n">
        <v>0</v>
      </c>
    </row>
    <row r="323">
      <c r="I323" s="87" t="n">
        <v>46193</v>
      </c>
      <c r="J323" s="87" t="n">
        <v>46196</v>
      </c>
      <c r="K323" s="87" t="n">
        <v>46194</v>
      </c>
      <c r="L323" t="n">
        <v>0</v>
      </c>
    </row>
    <row r="324">
      <c r="I324" s="87" t="n">
        <v>46193</v>
      </c>
      <c r="J324" s="87" t="n">
        <v>46196</v>
      </c>
      <c r="K324" s="87" t="n">
        <v>46194</v>
      </c>
      <c r="L324" t="n">
        <v>0</v>
      </c>
    </row>
    <row r="325">
      <c r="I325" s="87" t="n">
        <v>46193</v>
      </c>
      <c r="J325" s="87" t="n">
        <v>46196</v>
      </c>
      <c r="K325" s="87" t="n">
        <v>46194</v>
      </c>
      <c r="L325" t="n">
        <v>0</v>
      </c>
    </row>
    <row r="326">
      <c r="I326" s="87" t="n">
        <v>46193</v>
      </c>
      <c r="J326" s="87" t="n">
        <v>46196</v>
      </c>
      <c r="K326" s="87" t="n">
        <v>46194</v>
      </c>
      <c r="L326" t="n">
        <v>0</v>
      </c>
    </row>
    <row r="327">
      <c r="I327" s="87" t="n">
        <v>46193</v>
      </c>
      <c r="J327" s="87" t="n">
        <v>46196</v>
      </c>
      <c r="K327" s="87" t="n">
        <v>46194</v>
      </c>
      <c r="L327" t="n">
        <v>0</v>
      </c>
    </row>
    <row r="328">
      <c r="I328" s="87" t="n">
        <v>46193</v>
      </c>
      <c r="J328" s="87" t="n">
        <v>46196</v>
      </c>
      <c r="K328" s="87" t="n">
        <v>46194</v>
      </c>
      <c r="L328" t="n">
        <v>0</v>
      </c>
    </row>
    <row r="329">
      <c r="I329" s="87" t="n">
        <v>46193</v>
      </c>
      <c r="J329" s="87" t="n">
        <v>46196</v>
      </c>
      <c r="K329" s="87" t="n">
        <v>46194</v>
      </c>
      <c r="L329" t="n">
        <v>0</v>
      </c>
    </row>
    <row r="330">
      <c r="I330" s="87" t="n">
        <v>46193</v>
      </c>
      <c r="J330" s="87" t="n">
        <v>46196</v>
      </c>
      <c r="K330" s="87" t="n">
        <v>46194</v>
      </c>
      <c r="L330" t="n">
        <v>0</v>
      </c>
    </row>
    <row r="331">
      <c r="I331" s="87" t="n">
        <v>46193</v>
      </c>
      <c r="J331" s="87" t="n">
        <v>46196</v>
      </c>
      <c r="K331" s="87" t="n">
        <v>46194</v>
      </c>
      <c r="L331" t="n">
        <v>0</v>
      </c>
    </row>
    <row r="332">
      <c r="I332" s="87" t="n">
        <v>46193</v>
      </c>
      <c r="J332" s="87" t="n">
        <v>46196</v>
      </c>
      <c r="K332" s="87" t="n">
        <v>46194</v>
      </c>
      <c r="L332" t="n">
        <v>0</v>
      </c>
    </row>
    <row r="333">
      <c r="I333" s="87" t="n">
        <v>46193</v>
      </c>
      <c r="J333" s="87" t="n">
        <v>46196</v>
      </c>
      <c r="K333" s="87" t="n">
        <v>46194</v>
      </c>
      <c r="L333" t="n">
        <v>0</v>
      </c>
    </row>
    <row r="334">
      <c r="I334" s="87" t="n">
        <v>46193</v>
      </c>
      <c r="J334" s="87" t="n">
        <v>46196</v>
      </c>
      <c r="K334" s="87" t="n">
        <v>46194</v>
      </c>
      <c r="L334" t="n">
        <v>0</v>
      </c>
    </row>
    <row r="335">
      <c r="I335" s="87" t="n">
        <v>46193</v>
      </c>
      <c r="J335" s="87" t="n">
        <v>46196</v>
      </c>
      <c r="K335" s="87" t="n">
        <v>46194</v>
      </c>
      <c r="L335" t="n">
        <v>0</v>
      </c>
    </row>
    <row r="336">
      <c r="I336" s="87" t="n">
        <v>46193</v>
      </c>
      <c r="J336" s="87" t="n">
        <v>46196</v>
      </c>
      <c r="K336" s="87" t="n">
        <v>46194</v>
      </c>
      <c r="L336" t="n">
        <v>0</v>
      </c>
    </row>
    <row r="337">
      <c r="I337" s="87" t="n">
        <v>46193</v>
      </c>
      <c r="J337" s="87" t="n">
        <v>46196</v>
      </c>
      <c r="K337" s="87" t="n">
        <v>46194</v>
      </c>
      <c r="L337" t="n">
        <v>0</v>
      </c>
    </row>
    <row r="338">
      <c r="I338" s="87" t="n">
        <v>46193</v>
      </c>
      <c r="J338" s="87" t="n">
        <v>46196</v>
      </c>
      <c r="K338" s="87" t="n">
        <v>46194</v>
      </c>
      <c r="L338" t="n">
        <v>0</v>
      </c>
    </row>
    <row r="339">
      <c r="I339" s="87" t="n">
        <v>46193</v>
      </c>
      <c r="J339" s="87" t="n">
        <v>46196</v>
      </c>
      <c r="K339" s="87" t="n">
        <v>46194</v>
      </c>
      <c r="L339" t="n">
        <v>0</v>
      </c>
    </row>
    <row r="340">
      <c r="I340" s="87" t="n">
        <v>46193</v>
      </c>
      <c r="J340" s="87" t="n">
        <v>46196</v>
      </c>
      <c r="K340" s="87" t="n">
        <v>46194</v>
      </c>
      <c r="L340" t="n">
        <v>0</v>
      </c>
    </row>
    <row r="341">
      <c r="I341" s="87" t="n">
        <v>46193</v>
      </c>
      <c r="J341" s="87" t="n">
        <v>46196</v>
      </c>
      <c r="K341" s="87" t="n">
        <v>46194</v>
      </c>
      <c r="L341" t="n">
        <v>0</v>
      </c>
    </row>
    <row r="342">
      <c r="I342" s="87" t="n">
        <v>46193</v>
      </c>
      <c r="J342" s="87" t="n">
        <v>46196</v>
      </c>
      <c r="K342" s="87" t="n">
        <v>46194</v>
      </c>
      <c r="L342" t="n">
        <v>0</v>
      </c>
    </row>
    <row r="343">
      <c r="I343" s="87" t="n">
        <v>46193</v>
      </c>
      <c r="J343" s="87" t="n">
        <v>46196</v>
      </c>
      <c r="K343" s="87" t="n">
        <v>46194</v>
      </c>
      <c r="L343" t="n">
        <v>0</v>
      </c>
    </row>
    <row r="344">
      <c r="I344" s="87" t="n">
        <v>46193</v>
      </c>
      <c r="J344" s="87" t="n">
        <v>46196</v>
      </c>
      <c r="K344" s="87" t="n">
        <v>46194</v>
      </c>
      <c r="L344" t="n">
        <v>0</v>
      </c>
    </row>
    <row r="345">
      <c r="I345" s="87" t="n">
        <v>46193</v>
      </c>
      <c r="J345" s="87" t="n">
        <v>46196</v>
      </c>
      <c r="K345" s="87" t="n">
        <v>46194</v>
      </c>
      <c r="L345" t="n">
        <v>0</v>
      </c>
    </row>
    <row r="346">
      <c r="I346" s="87" t="n">
        <v>46193</v>
      </c>
      <c r="J346" s="87" t="n">
        <v>46196</v>
      </c>
      <c r="K346" s="87" t="n">
        <v>46194</v>
      </c>
      <c r="L346" t="n">
        <v>0</v>
      </c>
    </row>
    <row r="347">
      <c r="I347" s="87" t="n">
        <v>46193</v>
      </c>
      <c r="J347" s="87" t="n">
        <v>46196</v>
      </c>
      <c r="K347" s="87" t="n">
        <v>46194</v>
      </c>
      <c r="L347" t="n">
        <v>0</v>
      </c>
    </row>
    <row r="348">
      <c r="I348" s="87" t="n">
        <v>46193</v>
      </c>
      <c r="J348" s="87" t="n">
        <v>46196</v>
      </c>
      <c r="K348" s="87" t="n">
        <v>46194</v>
      </c>
      <c r="L348" t="n">
        <v>0</v>
      </c>
    </row>
    <row r="349">
      <c r="I349" s="87" t="n">
        <v>46193</v>
      </c>
      <c r="J349" s="87" t="n">
        <v>46196</v>
      </c>
      <c r="K349" s="87" t="n">
        <v>46194</v>
      </c>
      <c r="L349" t="n">
        <v>0</v>
      </c>
    </row>
    <row r="350">
      <c r="I350" s="87" t="n">
        <v>46193</v>
      </c>
      <c r="J350" s="87" t="n">
        <v>46196</v>
      </c>
      <c r="K350" s="87" t="n">
        <v>46194</v>
      </c>
      <c r="L350" t="n">
        <v>0</v>
      </c>
    </row>
    <row r="351">
      <c r="I351" s="87" t="n">
        <v>3</v>
      </c>
      <c r="J351" s="87" t="n">
        <v>1</v>
      </c>
      <c r="K351" t="n">
        <v>0</v>
      </c>
    </row>
    <row r="352">
      <c r="I352" s="87" t="n">
        <v>3</v>
      </c>
      <c r="J352" s="87" t="n">
        <v>1</v>
      </c>
      <c r="K352" t="n">
        <v>0</v>
      </c>
    </row>
    <row r="353">
      <c r="I353" s="87" t="n">
        <v>3</v>
      </c>
      <c r="J353" s="87" t="n">
        <v>1</v>
      </c>
      <c r="K353" t="n">
        <v>0</v>
      </c>
    </row>
    <row r="354">
      <c r="I354" s="87" t="n">
        <v>3</v>
      </c>
      <c r="J354" s="87" t="n">
        <v>1</v>
      </c>
      <c r="K354" t="n">
        <v>0</v>
      </c>
    </row>
    <row r="355">
      <c r="I355" s="87" t="n">
        <v>3</v>
      </c>
      <c r="J355" s="87" t="n">
        <v>1</v>
      </c>
      <c r="K355" t="n">
        <v>0</v>
      </c>
    </row>
    <row r="356">
      <c r="I356" s="87" t="n">
        <v>3</v>
      </c>
      <c r="J356" s="87" t="n">
        <v>1</v>
      </c>
      <c r="K356" t="n">
        <v>0</v>
      </c>
    </row>
    <row r="357">
      <c r="I357" s="87" t="n">
        <v>3</v>
      </c>
      <c r="J357" s="87" t="n">
        <v>1</v>
      </c>
      <c r="K357" t="n">
        <v>0</v>
      </c>
    </row>
    <row r="358">
      <c r="I358" s="87" t="n">
        <v>3</v>
      </c>
      <c r="J358" s="87" t="n">
        <v>1</v>
      </c>
      <c r="K358" t="n">
        <v>0</v>
      </c>
    </row>
    <row r="359">
      <c r="I359" s="87" t="n">
        <v>3</v>
      </c>
      <c r="J359" s="87" t="n">
        <v>1</v>
      </c>
      <c r="K359" t="n">
        <v>0</v>
      </c>
    </row>
    <row r="360">
      <c r="I360" s="87" t="n">
        <v>3</v>
      </c>
      <c r="J360" s="87" t="n">
        <v>1</v>
      </c>
      <c r="K360" t="n">
        <v>0</v>
      </c>
    </row>
    <row r="361">
      <c r="I361" s="87" t="n">
        <v>3</v>
      </c>
      <c r="J361" s="87" t="n">
        <v>1</v>
      </c>
      <c r="K361" t="n">
        <v>0</v>
      </c>
    </row>
    <row r="362">
      <c r="I362" s="87" t="n">
        <v>3</v>
      </c>
      <c r="J362" s="87" t="n">
        <v>1</v>
      </c>
      <c r="K362" t="n">
        <v>0</v>
      </c>
    </row>
    <row r="363">
      <c r="I363" s="87" t="n">
        <v>3</v>
      </c>
      <c r="J363" s="87" t="n">
        <v>1</v>
      </c>
      <c r="K363" t="n">
        <v>0</v>
      </c>
    </row>
    <row r="364">
      <c r="I364" s="87" t="n">
        <v>3</v>
      </c>
      <c r="J364" s="87" t="n">
        <v>1</v>
      </c>
      <c r="K364" t="n">
        <v>0</v>
      </c>
    </row>
    <row r="365">
      <c r="I365" s="87" t="n">
        <v>3</v>
      </c>
      <c r="J365" s="87" t="n">
        <v>1</v>
      </c>
      <c r="K365" t="n">
        <v>0</v>
      </c>
    </row>
    <row r="366">
      <c r="I366" s="87" t="n">
        <v>3</v>
      </c>
      <c r="J366" s="87" t="n">
        <v>1</v>
      </c>
      <c r="K366" t="n">
        <v>0</v>
      </c>
    </row>
    <row r="367">
      <c r="I367" s="87" t="n">
        <v>3</v>
      </c>
      <c r="J367" s="87" t="n">
        <v>1</v>
      </c>
      <c r="K367" t="n">
        <v>0</v>
      </c>
    </row>
    <row r="368">
      <c r="I368" s="87" t="n">
        <v>3</v>
      </c>
      <c r="J368" s="87" t="n">
        <v>1</v>
      </c>
      <c r="K368" t="n">
        <v>0</v>
      </c>
    </row>
    <row r="369">
      <c r="I369" s="87" t="n">
        <v>3</v>
      </c>
      <c r="J369" s="87" t="n">
        <v>1</v>
      </c>
      <c r="K369" t="n">
        <v>0</v>
      </c>
    </row>
    <row r="370">
      <c r="I370" s="87" t="n">
        <v>3</v>
      </c>
      <c r="J370" s="87" t="n">
        <v>1</v>
      </c>
      <c r="K370" t="n">
        <v>0</v>
      </c>
    </row>
    <row r="371">
      <c r="I371" s="87" t="n">
        <v>3</v>
      </c>
      <c r="J371" s="87" t="n">
        <v>1</v>
      </c>
      <c r="K371" t="n">
        <v>0</v>
      </c>
    </row>
    <row r="372">
      <c r="I372" s="87" t="n">
        <v>3</v>
      </c>
      <c r="J372" s="87" t="n">
        <v>1</v>
      </c>
      <c r="K372" t="n">
        <v>0</v>
      </c>
    </row>
    <row r="373">
      <c r="I373" s="87" t="n">
        <v>3</v>
      </c>
      <c r="J373" s="87" t="n">
        <v>1</v>
      </c>
      <c r="K373" t="n">
        <v>0</v>
      </c>
    </row>
    <row r="374">
      <c r="I374" s="87" t="n">
        <v>3</v>
      </c>
      <c r="J374" s="87" t="n">
        <v>1</v>
      </c>
      <c r="K374" t="n">
        <v>0</v>
      </c>
    </row>
    <row r="375">
      <c r="I375" s="87" t="n">
        <v>3</v>
      </c>
      <c r="J375" s="87" t="n">
        <v>1</v>
      </c>
      <c r="K375" t="n">
        <v>0</v>
      </c>
    </row>
    <row r="376">
      <c r="I376" s="87" t="n">
        <v>3</v>
      </c>
      <c r="J376" s="87" t="n">
        <v>1</v>
      </c>
      <c r="K376" t="n">
        <v>0</v>
      </c>
    </row>
    <row r="377">
      <c r="I377" s="87" t="n">
        <v>3</v>
      </c>
      <c r="J377" s="87" t="n">
        <v>1</v>
      </c>
      <c r="K377" t="n">
        <v>0</v>
      </c>
    </row>
    <row r="378">
      <c r="I378" s="87" t="n">
        <v>3</v>
      </c>
      <c r="J378" s="87" t="n">
        <v>1</v>
      </c>
      <c r="K378" t="n">
        <v>0</v>
      </c>
    </row>
    <row r="379">
      <c r="I379" s="87" t="n">
        <v>3</v>
      </c>
      <c r="J379" s="87" t="n">
        <v>1</v>
      </c>
      <c r="K379" t="n">
        <v>0</v>
      </c>
    </row>
    <row r="380">
      <c r="I380" s="87" t="n">
        <v>3</v>
      </c>
      <c r="J380" s="87" t="n">
        <v>1</v>
      </c>
      <c r="K380" t="n">
        <v>0</v>
      </c>
    </row>
    <row r="381">
      <c r="I381" s="87" t="n">
        <v>3</v>
      </c>
      <c r="J381" s="87" t="n">
        <v>1</v>
      </c>
      <c r="K381" t="n">
        <v>0</v>
      </c>
    </row>
    <row r="382">
      <c r="I382" s="87" t="n">
        <v>3</v>
      </c>
      <c r="J382" s="87" t="n">
        <v>1</v>
      </c>
      <c r="K382" t="n">
        <v>0</v>
      </c>
    </row>
    <row r="383">
      <c r="I383" s="87" t="n">
        <v>3</v>
      </c>
      <c r="J383" s="87" t="n">
        <v>1</v>
      </c>
      <c r="K383" t="n">
        <v>0</v>
      </c>
    </row>
    <row r="384">
      <c r="I384" s="87" t="n">
        <v>3</v>
      </c>
      <c r="J384" s="87" t="n">
        <v>1</v>
      </c>
      <c r="K384" t="n">
        <v>0</v>
      </c>
    </row>
    <row r="385">
      <c r="I385" s="87" t="n">
        <v>3</v>
      </c>
      <c r="J385" s="87" t="n">
        <v>1</v>
      </c>
      <c r="K385" t="n">
        <v>0</v>
      </c>
    </row>
    <row r="386">
      <c r="I386" s="87" t="n">
        <v>3</v>
      </c>
      <c r="J386" s="87" t="n">
        <v>1</v>
      </c>
      <c r="K386" t="n">
        <v>0</v>
      </c>
    </row>
    <row r="387">
      <c r="I387" s="87" t="n">
        <v>3</v>
      </c>
      <c r="J387" s="87" t="n">
        <v>1</v>
      </c>
      <c r="K387" t="n">
        <v>0</v>
      </c>
    </row>
    <row r="388">
      <c r="I388" s="87" t="n">
        <v>3</v>
      </c>
      <c r="J388" s="87" t="n">
        <v>1</v>
      </c>
      <c r="K388" t="n">
        <v>0</v>
      </c>
    </row>
    <row r="389">
      <c r="I389" s="87" t="n">
        <v>3</v>
      </c>
      <c r="J389" s="87" t="n">
        <v>1</v>
      </c>
      <c r="K389" t="n">
        <v>0</v>
      </c>
    </row>
    <row r="390">
      <c r="I390" s="87" t="n">
        <v>3</v>
      </c>
      <c r="J390" s="87" t="n">
        <v>1</v>
      </c>
      <c r="K390" t="n">
        <v>0</v>
      </c>
    </row>
    <row r="391">
      <c r="I391" s="87" t="n">
        <v>3</v>
      </c>
      <c r="J391" s="87" t="n">
        <v>1</v>
      </c>
      <c r="K391" t="n">
        <v>0</v>
      </c>
    </row>
    <row r="392">
      <c r="I392" s="87" t="n">
        <v>3</v>
      </c>
      <c r="J392" s="87" t="n">
        <v>1</v>
      </c>
      <c r="K392" t="n">
        <v>0</v>
      </c>
    </row>
    <row r="393">
      <c r="I393" s="87" t="n">
        <v>3</v>
      </c>
      <c r="J393" s="87" t="n">
        <v>1</v>
      </c>
      <c r="K393" t="n">
        <v>0</v>
      </c>
    </row>
    <row r="394">
      <c r="I394" s="87" t="n">
        <v>3</v>
      </c>
      <c r="J394" s="87" t="n">
        <v>1</v>
      </c>
      <c r="K394" t="n">
        <v>0</v>
      </c>
    </row>
    <row r="395">
      <c r="I395" s="87" t="n">
        <v>3</v>
      </c>
      <c r="J395" s="87" t="n">
        <v>1</v>
      </c>
      <c r="K395" t="n">
        <v>0</v>
      </c>
    </row>
    <row r="396">
      <c r="I396" s="87" t="n">
        <v>3</v>
      </c>
      <c r="J396" s="87" t="n">
        <v>1</v>
      </c>
      <c r="K396" t="n">
        <v>0</v>
      </c>
    </row>
    <row r="397">
      <c r="I397" s="87" t="n">
        <v>3</v>
      </c>
      <c r="J397" s="87" t="n">
        <v>1</v>
      </c>
      <c r="K397" t="n">
        <v>0</v>
      </c>
    </row>
    <row r="398">
      <c r="I398" s="87" t="n">
        <v>3</v>
      </c>
      <c r="J398" s="87" t="n">
        <v>1</v>
      </c>
      <c r="K398" t="n">
        <v>0</v>
      </c>
    </row>
    <row r="399">
      <c r="I399" s="87" t="n">
        <v>3</v>
      </c>
      <c r="J399" s="87" t="n">
        <v>1</v>
      </c>
      <c r="K399" t="n">
        <v>0</v>
      </c>
    </row>
    <row r="400">
      <c r="I400" s="87" t="n">
        <v>3</v>
      </c>
      <c r="J400" s="87" t="n">
        <v>1</v>
      </c>
      <c r="K400" t="n">
        <v>0</v>
      </c>
    </row>
    <row r="401">
      <c r="I401" s="87" t="n">
        <v>3</v>
      </c>
      <c r="J401" s="87" t="n">
        <v>1</v>
      </c>
      <c r="K401" t="n">
        <v>0</v>
      </c>
    </row>
    <row r="402">
      <c r="I402" s="87" t="n">
        <v>3</v>
      </c>
      <c r="J402" s="87" t="n">
        <v>1</v>
      </c>
      <c r="K402" t="n">
        <v>0</v>
      </c>
    </row>
    <row r="403">
      <c r="I403" s="87" t="n">
        <v>3</v>
      </c>
      <c r="J403" s="87" t="n">
        <v>1</v>
      </c>
      <c r="K403" t="n">
        <v>0</v>
      </c>
    </row>
    <row r="404">
      <c r="I404" s="87" t="n">
        <v>3</v>
      </c>
      <c r="J404" s="87" t="n">
        <v>1</v>
      </c>
      <c r="K404" t="n">
        <v>0</v>
      </c>
    </row>
    <row r="405">
      <c r="I405" s="87" t="n">
        <v>3</v>
      </c>
      <c r="J405" s="87" t="n">
        <v>1</v>
      </c>
      <c r="K405" t="n">
        <v>0</v>
      </c>
    </row>
    <row r="406">
      <c r="I406" s="87" t="n">
        <v>3</v>
      </c>
      <c r="J406" s="87" t="n">
        <v>1</v>
      </c>
      <c r="K406" t="n">
        <v>0</v>
      </c>
    </row>
    <row r="407">
      <c r="I407" s="87" t="n">
        <v>3</v>
      </c>
      <c r="J407" s="87" t="n">
        <v>1</v>
      </c>
      <c r="K407" t="n">
        <v>0</v>
      </c>
    </row>
    <row r="408">
      <c r="I408" s="87" t="n">
        <v>3</v>
      </c>
      <c r="J408" s="87" t="n">
        <v>1</v>
      </c>
      <c r="K408" t="n">
        <v>0</v>
      </c>
    </row>
    <row r="409">
      <c r="I409" s="87" t="n">
        <v>3</v>
      </c>
      <c r="J409" s="87" t="n">
        <v>1</v>
      </c>
      <c r="K409" t="n">
        <v>0</v>
      </c>
    </row>
    <row r="410">
      <c r="I410" s="87" t="n">
        <v>3</v>
      </c>
      <c r="J410" s="87" t="n">
        <v>1</v>
      </c>
      <c r="K410" t="n">
        <v>0</v>
      </c>
    </row>
    <row r="411">
      <c r="I411" s="87" t="n">
        <v>3</v>
      </c>
      <c r="J411" s="87" t="n">
        <v>1</v>
      </c>
      <c r="K411" t="n">
        <v>0</v>
      </c>
    </row>
    <row r="412">
      <c r="I412" s="87" t="n">
        <v>3</v>
      </c>
      <c r="J412" s="87" t="n">
        <v>1</v>
      </c>
      <c r="K412" t="n">
        <v>0</v>
      </c>
    </row>
    <row r="413">
      <c r="I413" s="87" t="n">
        <v>3</v>
      </c>
      <c r="J413" s="87" t="n">
        <v>1</v>
      </c>
      <c r="K413" t="n">
        <v>0</v>
      </c>
    </row>
    <row r="414">
      <c r="I414" s="87" t="n">
        <v>3</v>
      </c>
      <c r="J414" s="87" t="n">
        <v>1</v>
      </c>
      <c r="K414" t="n">
        <v>0</v>
      </c>
    </row>
    <row r="415">
      <c r="I415" s="87" t="n">
        <v>3</v>
      </c>
      <c r="J415" s="87" t="n">
        <v>1</v>
      </c>
      <c r="K415" t="n">
        <v>0</v>
      </c>
    </row>
    <row r="416">
      <c r="I416" s="87" t="n">
        <v>3</v>
      </c>
      <c r="J416" s="87" t="n">
        <v>1</v>
      </c>
      <c r="K416" t="n">
        <v>0</v>
      </c>
    </row>
    <row r="417">
      <c r="I417" s="87" t="n">
        <v>3</v>
      </c>
      <c r="J417" s="87" t="n">
        <v>1</v>
      </c>
      <c r="K417" t="n">
        <v>0</v>
      </c>
    </row>
    <row r="418">
      <c r="I418" s="87" t="n">
        <v>3</v>
      </c>
      <c r="J418" s="87" t="n">
        <v>1</v>
      </c>
      <c r="K418" t="n">
        <v>0</v>
      </c>
    </row>
    <row r="419">
      <c r="I419" s="87" t="n">
        <v>3</v>
      </c>
      <c r="J419" s="87" t="n">
        <v>1</v>
      </c>
      <c r="K419" t="n">
        <v>0</v>
      </c>
    </row>
    <row r="420">
      <c r="I420" s="87" t="n">
        <v>3</v>
      </c>
      <c r="J420" s="87" t="n">
        <v>1</v>
      </c>
      <c r="K420" t="n">
        <v>0</v>
      </c>
    </row>
    <row r="421">
      <c r="I421" s="87" t="n">
        <v>3</v>
      </c>
      <c r="J421" s="87" t="n">
        <v>1</v>
      </c>
      <c r="K421" t="n">
        <v>0</v>
      </c>
    </row>
    <row r="422">
      <c r="I422" s="87" t="n">
        <v>3</v>
      </c>
      <c r="J422" s="87" t="n">
        <v>1</v>
      </c>
      <c r="K422" t="n">
        <v>0</v>
      </c>
    </row>
    <row r="423">
      <c r="I423" s="87" t="n">
        <v>3</v>
      </c>
      <c r="J423" s="87" t="n">
        <v>1</v>
      </c>
      <c r="K423" t="n">
        <v>0</v>
      </c>
    </row>
    <row r="424">
      <c r="I424" s="87" t="n">
        <v>3</v>
      </c>
      <c r="J424" s="87" t="n">
        <v>1</v>
      </c>
      <c r="K424" t="n">
        <v>0</v>
      </c>
    </row>
    <row r="425">
      <c r="I425" s="87" t="n">
        <v>3</v>
      </c>
      <c r="J425" s="87" t="n">
        <v>1</v>
      </c>
      <c r="K425" t="n">
        <v>0</v>
      </c>
    </row>
    <row r="426">
      <c r="I426" s="87" t="n">
        <v>3</v>
      </c>
      <c r="J426" s="87" t="n">
        <v>1</v>
      </c>
      <c r="K426" t="n">
        <v>0</v>
      </c>
    </row>
    <row r="427">
      <c r="I427" s="87" t="n">
        <v>3</v>
      </c>
      <c r="J427" s="87" t="n">
        <v>1</v>
      </c>
      <c r="K427" t="n">
        <v>0</v>
      </c>
    </row>
    <row r="428">
      <c r="I428" s="87" t="n">
        <v>3</v>
      </c>
      <c r="J428" s="87" t="n">
        <v>1</v>
      </c>
      <c r="K428" t="n">
        <v>0</v>
      </c>
    </row>
    <row r="429">
      <c r="I429" s="87" t="n">
        <v>3</v>
      </c>
      <c r="J429" s="87" t="n">
        <v>1</v>
      </c>
      <c r="K429" t="n">
        <v>0</v>
      </c>
    </row>
    <row r="430">
      <c r="I430" s="87" t="n">
        <v>46193</v>
      </c>
      <c r="J430" s="87" t="n">
        <v>46196</v>
      </c>
      <c r="K430" s="87" t="n">
        <v>46194</v>
      </c>
      <c r="L430" t="n">
        <v>0</v>
      </c>
    </row>
    <row r="431">
      <c r="I431" s="87" t="n">
        <v>46193</v>
      </c>
      <c r="J431" s="87" t="n">
        <v>46196</v>
      </c>
      <c r="K431" s="87" t="n">
        <v>46194</v>
      </c>
      <c r="L431" t="n">
        <v>0</v>
      </c>
    </row>
    <row r="432">
      <c r="I432" s="87" t="n">
        <v>46193</v>
      </c>
      <c r="J432" s="87" t="n">
        <v>46196</v>
      </c>
      <c r="K432" s="87" t="n">
        <v>46194</v>
      </c>
      <c r="L432" t="n">
        <v>0</v>
      </c>
    </row>
    <row r="433">
      <c r="I433" s="87" t="n">
        <v>46193</v>
      </c>
      <c r="J433" s="87" t="n">
        <v>46196</v>
      </c>
      <c r="K433" s="87" t="n">
        <v>46194</v>
      </c>
      <c r="L433" t="n">
        <v>0</v>
      </c>
    </row>
    <row r="434">
      <c r="I434" s="87" t="n">
        <v>46193</v>
      </c>
      <c r="J434" s="87" t="n">
        <v>46196</v>
      </c>
      <c r="K434" s="87" t="n">
        <v>46194</v>
      </c>
      <c r="L434" t="n">
        <v>0</v>
      </c>
    </row>
    <row r="435">
      <c r="I435" s="87" t="n">
        <v>46193</v>
      </c>
      <c r="J435" s="87" t="n">
        <v>46196</v>
      </c>
      <c r="K435" s="87" t="n">
        <v>46194</v>
      </c>
      <c r="L435" t="n">
        <v>0</v>
      </c>
    </row>
    <row r="436">
      <c r="I436" s="87" t="n">
        <v>46193</v>
      </c>
      <c r="J436" s="87" t="n">
        <v>46196</v>
      </c>
      <c r="K436" s="87" t="n">
        <v>46194</v>
      </c>
      <c r="L436" t="n">
        <v>0</v>
      </c>
    </row>
    <row r="437">
      <c r="I437" s="87" t="n">
        <v>46193</v>
      </c>
      <c r="J437" s="87" t="n">
        <v>46196</v>
      </c>
      <c r="K437" s="87" t="n">
        <v>46194</v>
      </c>
      <c r="L437" t="n">
        <v>0</v>
      </c>
    </row>
    <row r="438">
      <c r="I438" s="87" t="n">
        <v>46193</v>
      </c>
      <c r="J438" s="87" t="n">
        <v>46196</v>
      </c>
      <c r="K438" s="87" t="n">
        <v>46194</v>
      </c>
      <c r="L438" t="n">
        <v>0</v>
      </c>
    </row>
    <row r="439">
      <c r="I439" s="87" t="n">
        <v>46193</v>
      </c>
      <c r="J439" s="87" t="n">
        <v>46196</v>
      </c>
      <c r="K439" s="87" t="n">
        <v>46194</v>
      </c>
      <c r="L439" t="n">
        <v>0</v>
      </c>
    </row>
    <row r="440">
      <c r="I440" s="87" t="n">
        <v>46193</v>
      </c>
      <c r="J440" s="87" t="n">
        <v>46196</v>
      </c>
      <c r="K440" s="87" t="n">
        <v>46194</v>
      </c>
      <c r="L440" t="n">
        <v>0</v>
      </c>
    </row>
    <row r="441">
      <c r="I441" s="87" t="n">
        <v>46193</v>
      </c>
      <c r="J441" s="87" t="n">
        <v>46196</v>
      </c>
      <c r="K441" s="87" t="n">
        <v>46194</v>
      </c>
      <c r="L441" t="n">
        <v>0</v>
      </c>
    </row>
    <row r="442">
      <c r="I442" s="87" t="n">
        <v>46193</v>
      </c>
      <c r="J442" s="87" t="n">
        <v>46196</v>
      </c>
      <c r="K442" s="87" t="n">
        <v>46194</v>
      </c>
      <c r="L442" t="n">
        <v>0</v>
      </c>
    </row>
    <row r="443">
      <c r="I443" s="87" t="n">
        <v>46193</v>
      </c>
      <c r="J443" s="87" t="n">
        <v>46196</v>
      </c>
      <c r="K443" s="87" t="n">
        <v>46194</v>
      </c>
      <c r="L443" t="n">
        <v>0</v>
      </c>
    </row>
    <row r="444">
      <c r="I444" s="87" t="n">
        <v>46193</v>
      </c>
      <c r="J444" s="87" t="n">
        <v>46196</v>
      </c>
      <c r="K444" s="87" t="n">
        <v>46194</v>
      </c>
      <c r="L444" t="n">
        <v>0</v>
      </c>
    </row>
    <row r="445">
      <c r="I445" s="87" t="n">
        <v>46193</v>
      </c>
      <c r="J445" s="87" t="n">
        <v>46196</v>
      </c>
      <c r="K445" s="87" t="n">
        <v>46194</v>
      </c>
      <c r="L445" t="n">
        <v>0</v>
      </c>
    </row>
    <row r="446">
      <c r="I446" s="87" t="n">
        <v>46193</v>
      </c>
      <c r="J446" s="87" t="n">
        <v>46196</v>
      </c>
      <c r="K446" s="87" t="n">
        <v>46194</v>
      </c>
      <c r="L446" t="n">
        <v>0</v>
      </c>
    </row>
    <row r="447">
      <c r="I447" s="87" t="n">
        <v>46193</v>
      </c>
      <c r="J447" s="87" t="n">
        <v>46196</v>
      </c>
      <c r="K447" s="87" t="n">
        <v>46194</v>
      </c>
      <c r="L447" t="n">
        <v>0</v>
      </c>
    </row>
    <row r="448">
      <c r="I448" s="87" t="n">
        <v>46193</v>
      </c>
      <c r="J448" s="87" t="n">
        <v>46196</v>
      </c>
      <c r="K448" s="87" t="n">
        <v>46194</v>
      </c>
      <c r="L448" t="n">
        <v>0</v>
      </c>
    </row>
    <row r="449">
      <c r="I449" s="87" t="n">
        <v>46193</v>
      </c>
      <c r="J449" s="87" t="n">
        <v>46196</v>
      </c>
      <c r="K449" s="87" t="n">
        <v>46194</v>
      </c>
      <c r="L449" t="n">
        <v>0</v>
      </c>
    </row>
    <row r="450">
      <c r="I450" s="87" t="n">
        <v>46193</v>
      </c>
      <c r="J450" s="87" t="n">
        <v>46196</v>
      </c>
      <c r="K450" s="87" t="n">
        <v>46194</v>
      </c>
      <c r="L450" t="n">
        <v>0</v>
      </c>
    </row>
    <row r="451">
      <c r="I451" s="87" t="n">
        <v>46193</v>
      </c>
      <c r="J451" s="87" t="n">
        <v>46196</v>
      </c>
      <c r="K451" s="87" t="n">
        <v>46194</v>
      </c>
      <c r="L451" t="n">
        <v>0</v>
      </c>
    </row>
    <row r="452">
      <c r="I452" s="87" t="n">
        <v>46193</v>
      </c>
      <c r="J452" s="87" t="n">
        <v>46196</v>
      </c>
      <c r="K452" s="87" t="n">
        <v>46194</v>
      </c>
      <c r="L452" t="n">
        <v>0</v>
      </c>
    </row>
    <row r="453">
      <c r="I453" s="87" t="n">
        <v>46193</v>
      </c>
      <c r="J453" s="87" t="n">
        <v>46196</v>
      </c>
      <c r="K453" s="87" t="n">
        <v>46194</v>
      </c>
      <c r="L453" t="n">
        <v>0</v>
      </c>
    </row>
    <row r="454">
      <c r="I454" s="87" t="n">
        <v>46193</v>
      </c>
      <c r="J454" s="87" t="n">
        <v>46196</v>
      </c>
      <c r="K454" s="87" t="n">
        <v>46194</v>
      </c>
      <c r="L454" t="n">
        <v>0</v>
      </c>
    </row>
    <row r="455">
      <c r="I455" s="87" t="n">
        <v>46193</v>
      </c>
      <c r="J455" s="87" t="n">
        <v>46196</v>
      </c>
      <c r="K455" s="87" t="n">
        <v>46194</v>
      </c>
      <c r="L455" t="n">
        <v>0</v>
      </c>
    </row>
    <row r="456">
      <c r="I456" s="87" t="n">
        <v>46193</v>
      </c>
      <c r="J456" s="87" t="n">
        <v>46196</v>
      </c>
      <c r="K456" s="87" t="n">
        <v>46194</v>
      </c>
      <c r="L456" t="n">
        <v>0</v>
      </c>
    </row>
    <row r="457">
      <c r="I457" s="87" t="n">
        <v>46193</v>
      </c>
      <c r="J457" s="87" t="n">
        <v>46196</v>
      </c>
      <c r="K457" s="87" t="n">
        <v>46194</v>
      </c>
      <c r="L457" t="n">
        <v>0</v>
      </c>
    </row>
    <row r="458">
      <c r="I458" s="87" t="n">
        <v>46193</v>
      </c>
      <c r="J458" s="87" t="n">
        <v>46196</v>
      </c>
      <c r="K458" s="87" t="n">
        <v>46194</v>
      </c>
      <c r="L458" t="n">
        <v>0</v>
      </c>
    </row>
    <row r="459">
      <c r="I459" s="87" t="n">
        <v>46193</v>
      </c>
      <c r="J459" s="87" t="n">
        <v>46196</v>
      </c>
      <c r="K459" s="87" t="n">
        <v>46194</v>
      </c>
      <c r="L459" t="n">
        <v>0</v>
      </c>
    </row>
    <row r="460">
      <c r="I460" s="87" t="n">
        <v>46193</v>
      </c>
      <c r="J460" s="87" t="n">
        <v>46196</v>
      </c>
      <c r="K460" s="87" t="n">
        <v>46194</v>
      </c>
      <c r="L460" t="n">
        <v>0</v>
      </c>
    </row>
    <row r="461">
      <c r="I461" s="87" t="n">
        <v>46193</v>
      </c>
      <c r="J461" s="87" t="n">
        <v>46196</v>
      </c>
      <c r="K461" s="87" t="n">
        <v>46194</v>
      </c>
      <c r="L461" t="n">
        <v>0</v>
      </c>
    </row>
    <row r="462">
      <c r="I462" s="87" t="n">
        <v>46193</v>
      </c>
      <c r="J462" s="87" t="n">
        <v>46196</v>
      </c>
      <c r="K462" s="87" t="n">
        <v>46194</v>
      </c>
      <c r="L462" t="n">
        <v>0</v>
      </c>
    </row>
    <row r="463">
      <c r="I463" s="87" t="n">
        <v>46193</v>
      </c>
      <c r="J463" s="87" t="n">
        <v>46196</v>
      </c>
      <c r="K463" s="87" t="n">
        <v>46194</v>
      </c>
      <c r="L463" t="n">
        <v>0</v>
      </c>
    </row>
    <row r="464">
      <c r="I464" s="87" t="n">
        <v>46193</v>
      </c>
      <c r="J464" s="87" t="n">
        <v>46196</v>
      </c>
      <c r="K464" s="87" t="n">
        <v>46194</v>
      </c>
      <c r="L464" t="n">
        <v>0</v>
      </c>
    </row>
    <row r="465">
      <c r="I465" s="87" t="n">
        <v>46193</v>
      </c>
      <c r="J465" s="87" t="n">
        <v>46196</v>
      </c>
      <c r="K465" s="87" t="n">
        <v>46194</v>
      </c>
      <c r="L465" t="n">
        <v>0</v>
      </c>
    </row>
    <row r="466">
      <c r="I466" s="87" t="n">
        <v>46193</v>
      </c>
      <c r="J466" s="87" t="n">
        <v>46196</v>
      </c>
      <c r="K466" s="87" t="n">
        <v>46194</v>
      </c>
      <c r="L466" t="n">
        <v>0</v>
      </c>
    </row>
    <row r="467">
      <c r="I467" s="87" t="n">
        <v>46193</v>
      </c>
      <c r="J467" s="87" t="n">
        <v>46196</v>
      </c>
      <c r="K467" s="87" t="n">
        <v>46194</v>
      </c>
      <c r="L467" t="n">
        <v>0</v>
      </c>
    </row>
    <row r="468">
      <c r="I468" s="87" t="n">
        <v>46193</v>
      </c>
      <c r="J468" s="87" t="n">
        <v>46196</v>
      </c>
      <c r="K468" s="87" t="n">
        <v>46194</v>
      </c>
      <c r="L468" t="n">
        <v>0</v>
      </c>
    </row>
    <row r="469">
      <c r="I469" s="87" t="n">
        <v>46193</v>
      </c>
      <c r="J469" s="87" t="n">
        <v>46196</v>
      </c>
      <c r="K469" s="87" t="n">
        <v>46194</v>
      </c>
      <c r="L469" t="n">
        <v>0</v>
      </c>
    </row>
    <row r="470">
      <c r="I470" s="87" t="n">
        <v>46193</v>
      </c>
      <c r="J470" s="87" t="n">
        <v>46196</v>
      </c>
      <c r="K470" s="87" t="n">
        <v>46194</v>
      </c>
      <c r="L470" t="n">
        <v>0</v>
      </c>
    </row>
    <row r="471">
      <c r="I471" s="87" t="n">
        <v>46193</v>
      </c>
      <c r="J471" s="87" t="n">
        <v>46196</v>
      </c>
      <c r="K471" s="87" t="n">
        <v>46194</v>
      </c>
      <c r="L471" t="n">
        <v>0</v>
      </c>
    </row>
    <row r="472">
      <c r="I472" s="87" t="n">
        <v>46193</v>
      </c>
      <c r="J472" s="87" t="n">
        <v>46196</v>
      </c>
      <c r="K472" s="87" t="n">
        <v>46194</v>
      </c>
      <c r="L472" t="n">
        <v>0</v>
      </c>
    </row>
    <row r="473">
      <c r="I473" s="87" t="n">
        <v>46193</v>
      </c>
      <c r="J473" s="87" t="n">
        <v>46196</v>
      </c>
      <c r="K473" s="87" t="n">
        <v>46194</v>
      </c>
      <c r="L473" t="n">
        <v>0</v>
      </c>
    </row>
    <row r="474">
      <c r="I474" s="87" t="n">
        <v>46193</v>
      </c>
      <c r="J474" s="87" t="n">
        <v>46196</v>
      </c>
      <c r="K474" s="87" t="n">
        <v>46194</v>
      </c>
      <c r="L474" t="n">
        <v>0</v>
      </c>
    </row>
    <row r="475">
      <c r="I475" s="87" t="n">
        <v>46193</v>
      </c>
      <c r="J475" s="87" t="n">
        <v>46196</v>
      </c>
      <c r="K475" s="87" t="n">
        <v>46194</v>
      </c>
      <c r="L475" t="n">
        <v>0</v>
      </c>
    </row>
    <row r="476">
      <c r="I476" s="87" t="n">
        <v>46193</v>
      </c>
      <c r="J476" s="87" t="n">
        <v>46196</v>
      </c>
      <c r="K476" s="87" t="n">
        <v>46194</v>
      </c>
      <c r="L476" t="n">
        <v>0</v>
      </c>
    </row>
    <row r="477">
      <c r="I477" s="87" t="n">
        <v>46193</v>
      </c>
      <c r="J477" s="87" t="n">
        <v>46196</v>
      </c>
      <c r="K477" s="87" t="n">
        <v>46194</v>
      </c>
      <c r="L477" t="n">
        <v>0</v>
      </c>
    </row>
    <row r="478">
      <c r="I478" s="87" t="n">
        <v>46193</v>
      </c>
      <c r="J478" s="87" t="n">
        <v>46196</v>
      </c>
      <c r="K478" s="87" t="n">
        <v>46194</v>
      </c>
      <c r="L478" t="n">
        <v>0</v>
      </c>
    </row>
    <row r="479">
      <c r="I479" s="87" t="n">
        <v>46193</v>
      </c>
      <c r="J479" s="87" t="n">
        <v>46196</v>
      </c>
      <c r="K479" s="87" t="n">
        <v>46194</v>
      </c>
      <c r="L479" t="n">
        <v>0</v>
      </c>
    </row>
    <row r="480">
      <c r="I480" s="87" t="n">
        <v>46193</v>
      </c>
      <c r="J480" s="87" t="n">
        <v>46196</v>
      </c>
      <c r="K480" s="87" t="n">
        <v>46194</v>
      </c>
      <c r="L480" t="n">
        <v>0</v>
      </c>
    </row>
    <row r="481">
      <c r="I481" s="87" t="n">
        <v>46193</v>
      </c>
      <c r="J481" s="87" t="n">
        <v>46196</v>
      </c>
      <c r="K481" s="87" t="n">
        <v>46194</v>
      </c>
      <c r="L481" t="n">
        <v>0</v>
      </c>
    </row>
    <row r="482">
      <c r="I482" s="87" t="n">
        <v>46193</v>
      </c>
      <c r="J482" s="87" t="n">
        <v>46196</v>
      </c>
      <c r="K482" s="87" t="n">
        <v>46194</v>
      </c>
      <c r="L482" t="n">
        <v>0</v>
      </c>
    </row>
    <row r="483">
      <c r="I483" s="87" t="n">
        <v>46193</v>
      </c>
      <c r="J483" s="87" t="n">
        <v>46196</v>
      </c>
      <c r="K483" s="87" t="n">
        <v>46194</v>
      </c>
      <c r="L483" t="n">
        <v>0</v>
      </c>
    </row>
    <row r="484">
      <c r="I484" s="87" t="n">
        <v>46193</v>
      </c>
      <c r="J484" s="87" t="n">
        <v>46196</v>
      </c>
      <c r="K484" s="87" t="n">
        <v>46194</v>
      </c>
      <c r="L484" t="n">
        <v>0</v>
      </c>
    </row>
    <row r="485">
      <c r="I485" s="87" t="n">
        <v>46193</v>
      </c>
      <c r="J485" s="87" t="n">
        <v>46196</v>
      </c>
      <c r="K485" s="87" t="n">
        <v>46194</v>
      </c>
      <c r="L485" t="n">
        <v>0</v>
      </c>
    </row>
    <row r="486">
      <c r="I486" s="87" t="n">
        <v>46193</v>
      </c>
      <c r="J486" s="87" t="n">
        <v>46196</v>
      </c>
      <c r="K486" s="87" t="n">
        <v>46194</v>
      </c>
      <c r="L486" t="n">
        <v>0</v>
      </c>
    </row>
    <row r="487">
      <c r="I487" s="87" t="n">
        <v>46193</v>
      </c>
      <c r="J487" s="87" t="n">
        <v>46196</v>
      </c>
      <c r="K487" s="87" t="n">
        <v>46194</v>
      </c>
      <c r="L487" t="n">
        <v>0</v>
      </c>
    </row>
    <row r="488">
      <c r="I488" s="87" t="n">
        <v>46193</v>
      </c>
      <c r="J488" s="87" t="n">
        <v>46196</v>
      </c>
      <c r="K488" s="87" t="n">
        <v>46194</v>
      </c>
      <c r="L488" t="n">
        <v>0</v>
      </c>
    </row>
    <row r="489">
      <c r="I489" s="87" t="n">
        <v>46193</v>
      </c>
      <c r="J489" s="87" t="n">
        <v>46196</v>
      </c>
      <c r="K489" s="87" t="n">
        <v>46194</v>
      </c>
      <c r="L489" t="n">
        <v>0</v>
      </c>
    </row>
    <row r="490">
      <c r="I490" s="87" t="n">
        <v>46193</v>
      </c>
      <c r="J490" s="87" t="n">
        <v>46196</v>
      </c>
      <c r="K490" s="87" t="n">
        <v>46194</v>
      </c>
      <c r="L490" t="n">
        <v>0</v>
      </c>
    </row>
    <row r="491">
      <c r="I491" s="87" t="n">
        <v>46193</v>
      </c>
      <c r="J491" s="87" t="n">
        <v>46196</v>
      </c>
      <c r="K491" s="87" t="n">
        <v>46194</v>
      </c>
      <c r="L491" t="n">
        <v>0</v>
      </c>
    </row>
    <row r="492">
      <c r="I492" s="87" t="n">
        <v>46193</v>
      </c>
      <c r="J492" s="87" t="n">
        <v>46196</v>
      </c>
      <c r="K492" s="87" t="n">
        <v>46194</v>
      </c>
      <c r="L492" t="n">
        <v>0</v>
      </c>
    </row>
    <row r="493">
      <c r="I493" s="87" t="n">
        <v>46193</v>
      </c>
      <c r="J493" s="87" t="n">
        <v>46196</v>
      </c>
      <c r="K493" s="87" t="n">
        <v>46194</v>
      </c>
      <c r="L493" t="n">
        <v>0</v>
      </c>
    </row>
    <row r="494">
      <c r="I494" s="87" t="n">
        <v>46193</v>
      </c>
      <c r="J494" s="87" t="n">
        <v>46196</v>
      </c>
      <c r="K494" s="87" t="n">
        <v>46194</v>
      </c>
      <c r="L494" t="n">
        <v>0</v>
      </c>
    </row>
    <row r="495">
      <c r="I495" s="87" t="n">
        <v>46193</v>
      </c>
      <c r="J495" s="87" t="n">
        <v>46196</v>
      </c>
      <c r="K495" s="87" t="n">
        <v>46194</v>
      </c>
      <c r="L495" t="n">
        <v>0</v>
      </c>
    </row>
    <row r="496">
      <c r="I496" s="87" t="n">
        <v>46193</v>
      </c>
      <c r="J496" s="87" t="n">
        <v>46196</v>
      </c>
      <c r="K496" s="87" t="n">
        <v>46194</v>
      </c>
      <c r="L496" t="n">
        <v>0</v>
      </c>
    </row>
    <row r="497">
      <c r="I497" s="87" t="n">
        <v>46193</v>
      </c>
      <c r="J497" s="87" t="n">
        <v>46196</v>
      </c>
      <c r="K497" s="87" t="n">
        <v>46194</v>
      </c>
      <c r="L497" t="n">
        <v>0</v>
      </c>
    </row>
    <row r="498">
      <c r="I498" s="87" t="n">
        <v>46193</v>
      </c>
      <c r="J498" s="87" t="n">
        <v>46196</v>
      </c>
      <c r="K498" s="87" t="n">
        <v>46194</v>
      </c>
      <c r="L498" t="n">
        <v>0</v>
      </c>
    </row>
    <row r="499">
      <c r="I499" s="87" t="n">
        <v>46193</v>
      </c>
      <c r="J499" s="87" t="n">
        <v>46196</v>
      </c>
      <c r="K499" s="87" t="n">
        <v>46194</v>
      </c>
      <c r="L499" t="n">
        <v>0</v>
      </c>
    </row>
    <row r="500">
      <c r="I500" s="87" t="n">
        <v>46193</v>
      </c>
      <c r="J500" s="87" t="n">
        <v>46196</v>
      </c>
      <c r="K500" s="87" t="n">
        <v>46194</v>
      </c>
      <c r="L500" t="n">
        <v>0</v>
      </c>
    </row>
    <row r="501">
      <c r="I501" s="87" t="n">
        <v>46193</v>
      </c>
      <c r="J501" s="87" t="n">
        <v>46196</v>
      </c>
      <c r="K501" s="87" t="n">
        <v>46194</v>
      </c>
      <c r="L501" t="n">
        <v>0</v>
      </c>
    </row>
    <row r="502">
      <c r="I502" s="87" t="n">
        <v>46193</v>
      </c>
      <c r="J502" s="87" t="n">
        <v>46196</v>
      </c>
      <c r="K502" s="87" t="n">
        <v>46194</v>
      </c>
      <c r="L502" t="n">
        <v>0</v>
      </c>
    </row>
    <row r="503">
      <c r="I503" s="87" t="n">
        <v>46193</v>
      </c>
      <c r="J503" s="87" t="n">
        <v>46196</v>
      </c>
      <c r="K503" s="87" t="n">
        <v>46194</v>
      </c>
      <c r="L503" t="n">
        <v>0</v>
      </c>
    </row>
    <row r="504">
      <c r="I504" s="87" t="n">
        <v>46193</v>
      </c>
      <c r="J504" s="87" t="n">
        <v>46196</v>
      </c>
      <c r="K504" s="87" t="n">
        <v>46194</v>
      </c>
      <c r="L504" t="n">
        <v>0</v>
      </c>
    </row>
    <row r="505">
      <c r="I505" s="87" t="n">
        <v>46193</v>
      </c>
      <c r="J505" s="87" t="n">
        <v>46196</v>
      </c>
      <c r="K505" s="87" t="n">
        <v>46194</v>
      </c>
      <c r="L505" t="n">
        <v>0</v>
      </c>
    </row>
    <row r="506">
      <c r="I506" s="87" t="n">
        <v>46193</v>
      </c>
      <c r="J506" s="87" t="n">
        <v>46196</v>
      </c>
      <c r="K506" s="87" t="n">
        <v>46194</v>
      </c>
      <c r="L506" t="n">
        <v>0</v>
      </c>
    </row>
    <row r="507">
      <c r="I507" s="87" t="n">
        <v>46193</v>
      </c>
      <c r="J507" s="87" t="n">
        <v>46196</v>
      </c>
      <c r="K507" s="87" t="n">
        <v>46194</v>
      </c>
      <c r="L507" t="n">
        <v>0</v>
      </c>
    </row>
    <row r="508">
      <c r="I508" s="87" t="n">
        <v>46193</v>
      </c>
      <c r="J508" s="87" t="n">
        <v>46196</v>
      </c>
      <c r="K508" s="87" t="n">
        <v>46194</v>
      </c>
      <c r="L508" t="n">
        <v>0</v>
      </c>
    </row>
    <row r="509">
      <c r="A509" t="inlineStr">
        <is>
          <t>CSE340</t>
        </is>
      </c>
      <c r="B509" t="inlineStr">
        <is>
          <t>Grader-Issued 0</t>
        </is>
      </c>
      <c r="C509" t="inlineStr">
        <is>
          <t>W01 Assignment: Initial Site Creation</t>
        </is>
      </c>
      <c r="D509" t="n">
        <v>2</v>
      </c>
      <c r="E509" t="n">
        <v>4</v>
      </c>
      <c r="F509" t="n">
        <v>100</v>
      </c>
      <c r="H509" t="inlineStr">
        <is>
          <t>y</t>
        </is>
      </c>
      <c r="I509" s="87" t="n">
        <v>46211</v>
      </c>
      <c r="J509" s="87" t="n">
        <v>46214</v>
      </c>
      <c r="K509" s="87" t="n">
        <v>46215</v>
      </c>
      <c r="L509" t="n">
        <v>0</v>
      </c>
      <c r="M509" t="inlineStr">
        <is>
          <t>The student was given a Grader issued 0 on W01 Assignment: Initial Site Creation</t>
        </is>
      </c>
      <c r="N509" t="inlineStr">
        <is>
          <t>Grader issued 0 for W01 Assignment: Initial Site Creation. Log into Canvas and see the grader comments. Work with the student to help resubmit.</t>
        </is>
      </c>
    </row>
    <row r="510" ht="32.1" customHeight="1">
      <c r="A510" t="inlineStr">
        <is>
          <t>CSE340</t>
        </is>
      </c>
      <c r="B510" t="inlineStr">
        <is>
          <t>Grader-Issued 0</t>
        </is>
      </c>
      <c r="C510" s="89" t="inlineStr">
        <is>
          <t xml:space="preserve">
W02 Assignment: Database Retrieval</t>
        </is>
      </c>
      <c r="D510" t="n">
        <v>3</v>
      </c>
      <c r="E510" t="n">
        <v>4</v>
      </c>
      <c r="F510" t="n">
        <v>100</v>
      </c>
      <c r="H510" t="inlineStr">
        <is>
          <t>y</t>
        </is>
      </c>
      <c r="I510" s="87" t="n">
        <v>46218</v>
      </c>
      <c r="J510" s="87" t="n">
        <v>46221</v>
      </c>
      <c r="K510" s="87" t="n">
        <v>46222</v>
      </c>
      <c r="L510" t="n">
        <v>0</v>
      </c>
      <c r="M510" t="inlineStr">
        <is>
          <t>The student was given a Grader issued 0 on W02 Assignment: Database Retrieval</t>
        </is>
      </c>
      <c r="N510" t="inlineStr">
        <is>
          <t>Grader issued 0 for W02 Assignment: Database Retrieval. Log into Canvas and see the grader comments. Work with the student to help resubmit.</t>
        </is>
      </c>
    </row>
    <row r="511">
      <c r="A511" t="inlineStr">
        <is>
          <t>CSE340</t>
        </is>
      </c>
      <c r="B511" t="inlineStr">
        <is>
          <t>Grader-Issued 0</t>
        </is>
      </c>
      <c r="C511" t="inlineStr">
        <is>
          <t>W03 Assignment: Model-View-Controller Implementation</t>
        </is>
      </c>
      <c r="D511" t="n">
        <v>4</v>
      </c>
      <c r="E511" t="n">
        <v>4</v>
      </c>
      <c r="F511" t="n">
        <v>100</v>
      </c>
      <c r="H511" t="inlineStr">
        <is>
          <t>y</t>
        </is>
      </c>
      <c r="I511" s="87" t="n">
        <v>46225</v>
      </c>
      <c r="J511" s="87" t="n">
        <v>46228</v>
      </c>
      <c r="K511" s="87" t="n">
        <v>46229</v>
      </c>
      <c r="L511" t="n">
        <v>0</v>
      </c>
      <c r="M511" t="inlineStr">
        <is>
          <t>The student was given a Grader issued 0 on W03 Assignment: Model-View-Controller Implementation</t>
        </is>
      </c>
      <c r="N511" t="inlineStr">
        <is>
          <t>Grader issued 0 for W03 Assignment: Model-View-Controller Implementation. Log into Canvas and see the grader comments. Work with the student to help resubmit.</t>
        </is>
      </c>
    </row>
    <row r="512" ht="32.1" customHeight="1">
      <c r="A512" t="inlineStr">
        <is>
          <t>CSE340</t>
        </is>
      </c>
      <c r="B512" t="inlineStr">
        <is>
          <t>Grader-Issued 0</t>
        </is>
      </c>
      <c r="C512" s="89" t="inlineStr">
        <is>
          <t xml:space="preserve">
W04 Assignment: Inserting and Updating Data</t>
        </is>
      </c>
      <c r="D512" t="n">
        <v>5</v>
      </c>
      <c r="E512" t="n">
        <v>4</v>
      </c>
      <c r="F512" t="n">
        <v>100</v>
      </c>
      <c r="H512" t="inlineStr">
        <is>
          <t>y</t>
        </is>
      </c>
      <c r="I512" s="87" t="n">
        <v>46232</v>
      </c>
      <c r="J512" s="87" t="n">
        <v>46235</v>
      </c>
      <c r="K512" s="87" t="n">
        <v>46236</v>
      </c>
      <c r="L512" t="n">
        <v>0</v>
      </c>
      <c r="M512" t="inlineStr">
        <is>
          <t>The student was given a Grader issued 0 on W04 Assignment: Inserting and Updating Data</t>
        </is>
      </c>
      <c r="N512" t="inlineStr">
        <is>
          <t>Grader issued 0 for W04 Assignment: Inserting and Updating Data. Log into Canvas and see the grader comments. Work with the student to help resubmit.</t>
        </is>
      </c>
    </row>
    <row r="513">
      <c r="A513" t="inlineStr">
        <is>
          <t>CSE340</t>
        </is>
      </c>
      <c r="B513" t="inlineStr">
        <is>
          <t>Grader-Issued 0</t>
        </is>
      </c>
      <c r="C513" t="inlineStr">
        <is>
          <t>W05 Assignment: Authentication and Authorization</t>
        </is>
      </c>
      <c r="D513" t="n">
        <v>6</v>
      </c>
      <c r="E513" t="n">
        <v>4</v>
      </c>
      <c r="F513" t="n">
        <v>100</v>
      </c>
      <c r="H513" t="inlineStr">
        <is>
          <t>y</t>
        </is>
      </c>
      <c r="I513" s="87" t="n">
        <v>46239</v>
      </c>
      <c r="J513" s="87" t="n">
        <v>46242</v>
      </c>
      <c r="K513" s="87" t="n">
        <v>46243</v>
      </c>
      <c r="L513" t="n">
        <v>0</v>
      </c>
      <c r="M513" t="inlineStr">
        <is>
          <t>The student was given a Grader issued 0 on W05 Assignment: Authentication and Authorization</t>
        </is>
      </c>
      <c r="N513" t="inlineStr">
        <is>
          <t>Grader issued 0 for W05 Assignment: Authentication and Authorization. Log into Canvas and see the grader comments. Work with the student to help resubmit.</t>
        </is>
      </c>
    </row>
    <row r="514">
      <c r="A514" t="inlineStr">
        <is>
          <t>CSE340</t>
        </is>
      </c>
      <c r="B514" t="inlineStr">
        <is>
          <t>High Performance</t>
        </is>
      </c>
      <c r="C514" t="inlineStr">
        <is>
          <t>W01 Assignment: Initial Site Creation</t>
        </is>
      </c>
      <c r="D514" t="n">
        <v>2</v>
      </c>
      <c r="E514" t="n">
        <v>5</v>
      </c>
      <c r="F514" t="n">
        <v>100</v>
      </c>
      <c r="G514" t="n">
        <v>0.9</v>
      </c>
      <c r="H514" t="inlineStr">
        <is>
          <t>y</t>
        </is>
      </c>
      <c r="I514" s="87" t="n">
        <v>46212</v>
      </c>
      <c r="J514" s="87" t="n">
        <v>46215</v>
      </c>
      <c r="K514" s="87" t="n">
        <v>46215</v>
      </c>
      <c r="L514" t="n">
        <v>90</v>
      </c>
      <c r="M514" t="inlineStr">
        <is>
          <t>High Performance: W01 Assignment: Initial Site Creation</t>
        </is>
      </c>
      <c r="N514" t="inlineStr">
        <is>
          <t>Provide Positive Feedback on W01 Assignment: Initial Site Creation</t>
        </is>
      </c>
    </row>
    <row r="515">
      <c r="A515" t="inlineStr">
        <is>
          <t>CSE340</t>
        </is>
      </c>
      <c r="B515" t="inlineStr">
        <is>
          <t>High Performance</t>
        </is>
      </c>
      <c r="C515" t="inlineStr">
        <is>
          <t>W02 Assignment: Database Retrieval</t>
        </is>
      </c>
      <c r="D515" t="n">
        <v>3</v>
      </c>
      <c r="E515" t="n">
        <v>5</v>
      </c>
      <c r="F515" t="n">
        <v>100</v>
      </c>
      <c r="G515" t="n">
        <v>0.9</v>
      </c>
      <c r="H515" t="inlineStr">
        <is>
          <t>y</t>
        </is>
      </c>
      <c r="I515" s="87" t="n">
        <v>46219</v>
      </c>
      <c r="J515" s="87" t="n">
        <v>46222</v>
      </c>
      <c r="K515" s="87" t="n">
        <v>46222</v>
      </c>
      <c r="L515" t="n">
        <v>90</v>
      </c>
      <c r="M515" t="inlineStr">
        <is>
          <t>High Performance: W02 Assignment: Database Retrieval</t>
        </is>
      </c>
      <c r="N515" t="inlineStr">
        <is>
          <t>Provide Positive Feedback on W02 Assignment: Database Retrieval</t>
        </is>
      </c>
    </row>
    <row r="516">
      <c r="A516" t="inlineStr">
        <is>
          <t>CSE340</t>
        </is>
      </c>
      <c r="B516" t="inlineStr">
        <is>
          <t>High Performance</t>
        </is>
      </c>
      <c r="C516" t="inlineStr">
        <is>
          <t>W03 Assignment: Model-View-Controller Implementation</t>
        </is>
      </c>
      <c r="D516" t="n">
        <v>4</v>
      </c>
      <c r="E516" t="n">
        <v>5</v>
      </c>
      <c r="F516" t="n">
        <v>100</v>
      </c>
      <c r="G516" t="n">
        <v>0.9</v>
      </c>
      <c r="H516" t="inlineStr">
        <is>
          <t>y</t>
        </is>
      </c>
      <c r="I516" s="87" t="n">
        <v>46226</v>
      </c>
      <c r="J516" s="87" t="n">
        <v>46229</v>
      </c>
      <c r="K516" s="87" t="n">
        <v>46229</v>
      </c>
      <c r="L516" t="n">
        <v>90</v>
      </c>
      <c r="M516" t="inlineStr">
        <is>
          <t>High Performance: W03 Assignment: Model-View-Controller Implementation</t>
        </is>
      </c>
      <c r="N516" t="inlineStr">
        <is>
          <t>Provide Positive Feedback on W03 Assignment: Model-View-Controller Implementation</t>
        </is>
      </c>
    </row>
    <row r="517">
      <c r="A517" t="inlineStr">
        <is>
          <t>CSE340</t>
        </is>
      </c>
      <c r="B517" t="inlineStr">
        <is>
          <t>High Performance</t>
        </is>
      </c>
      <c r="C517" t="inlineStr">
        <is>
          <t>W04 Assignment: Inserting and Updating Data</t>
        </is>
      </c>
      <c r="D517" t="n">
        <v>5</v>
      </c>
      <c r="E517" t="n">
        <v>5</v>
      </c>
      <c r="F517" t="n">
        <v>100</v>
      </c>
      <c r="G517" t="n">
        <v>0.9</v>
      </c>
      <c r="H517" t="inlineStr">
        <is>
          <t>y</t>
        </is>
      </c>
      <c r="I517" s="87" t="n">
        <v>46233</v>
      </c>
      <c r="J517" s="87" t="n">
        <v>46236</v>
      </c>
      <c r="K517" s="87" t="n">
        <v>46236</v>
      </c>
      <c r="L517" t="n">
        <v>90</v>
      </c>
      <c r="M517" t="inlineStr">
        <is>
          <t>High Performance: W04 Assignment: Inserting and Updating Data</t>
        </is>
      </c>
      <c r="N517" t="inlineStr">
        <is>
          <t>Provide Positive Feedback on W04 Assignment: Inserting and Updating Data</t>
        </is>
      </c>
    </row>
    <row r="518">
      <c r="A518" t="inlineStr">
        <is>
          <t>CSE340</t>
        </is>
      </c>
      <c r="B518" t="inlineStr">
        <is>
          <t>High Performance</t>
        </is>
      </c>
      <c r="C518" t="inlineStr">
        <is>
          <t>W05 Assignment: Authentication and Authorization</t>
        </is>
      </c>
      <c r="D518" t="n">
        <v>6</v>
      </c>
      <c r="E518" t="n">
        <v>5</v>
      </c>
      <c r="F518" t="n">
        <v>100</v>
      </c>
      <c r="G518" t="n">
        <v>0.9</v>
      </c>
      <c r="H518" t="inlineStr">
        <is>
          <t>y</t>
        </is>
      </c>
      <c r="I518" s="87" t="n">
        <v>46240</v>
      </c>
      <c r="J518" s="87" t="n">
        <v>46243</v>
      </c>
      <c r="K518" s="87" t="n">
        <v>46243</v>
      </c>
      <c r="L518" t="n">
        <v>90</v>
      </c>
      <c r="M518" t="inlineStr">
        <is>
          <t>High Performance: W05 Assignment: Authentication and Authorization</t>
        </is>
      </c>
      <c r="N518" t="inlineStr">
        <is>
          <t>Provide Positive Feedback on W05 Assignment: Authentication and Authorization</t>
        </is>
      </c>
    </row>
    <row r="519">
      <c r="A519" t="inlineStr">
        <is>
          <t>CSE340</t>
        </is>
      </c>
      <c r="B519" t="inlineStr">
        <is>
          <t>Low Performance</t>
        </is>
      </c>
      <c r="C519" t="inlineStr">
        <is>
          <t>W01 Assignment: Initial Site Creation</t>
        </is>
      </c>
      <c r="D519" t="n">
        <v>2</v>
      </c>
      <c r="E519" t="n">
        <v>5</v>
      </c>
      <c r="F519" t="n">
        <v>100</v>
      </c>
      <c r="G519" t="n">
        <v>0.7</v>
      </c>
      <c r="H519" t="inlineStr">
        <is>
          <t>y</t>
        </is>
      </c>
      <c r="I519" s="87" t="n">
        <v>46212</v>
      </c>
      <c r="J519" s="87" t="n">
        <v>46215</v>
      </c>
      <c r="K519" s="87" t="n">
        <v>46215</v>
      </c>
      <c r="L519" t="n">
        <v>70</v>
      </c>
      <c r="M519" t="inlineStr">
        <is>
          <t>Low Performance: W01 Assignment: Initial Site Creation</t>
        </is>
      </c>
      <c r="N519" t="inlineStr">
        <is>
          <t xml:space="preserve">At Risk. Student scored below 70% on W01 Assignment: Initial Site Creation. Check in to see how you can help. </t>
        </is>
      </c>
    </row>
    <row r="520" ht="32.1" customHeight="1">
      <c r="A520" t="inlineStr">
        <is>
          <t>CSE340</t>
        </is>
      </c>
      <c r="B520" t="inlineStr">
        <is>
          <t>Low Performance</t>
        </is>
      </c>
      <c r="C520" s="89" t="inlineStr">
        <is>
          <t xml:space="preserve">
W02 Assignment: Database Retrieval</t>
        </is>
      </c>
      <c r="D520" t="n">
        <v>3</v>
      </c>
      <c r="E520" t="n">
        <v>5</v>
      </c>
      <c r="F520" t="n">
        <v>100</v>
      </c>
      <c r="G520" t="n">
        <v>0.7</v>
      </c>
      <c r="H520" t="inlineStr">
        <is>
          <t>y</t>
        </is>
      </c>
      <c r="I520" s="87" t="n">
        <v>46219</v>
      </c>
      <c r="J520" s="87" t="n">
        <v>46222</v>
      </c>
      <c r="K520" s="87" t="n">
        <v>46222</v>
      </c>
      <c r="L520" t="n">
        <v>70</v>
      </c>
      <c r="M520" t="inlineStr">
        <is>
          <t>Low Performance: W02 Assignment: Database Retrieval</t>
        </is>
      </c>
      <c r="N520" t="inlineStr">
        <is>
          <t xml:space="preserve">At Risk. Student scored below 70% on W02 Assignment: Database Retrieval. Check in to see how you can help. </t>
        </is>
      </c>
    </row>
    <row r="521">
      <c r="A521" t="inlineStr">
        <is>
          <t>CSE340</t>
        </is>
      </c>
      <c r="B521" t="inlineStr">
        <is>
          <t>Low Performance</t>
        </is>
      </c>
      <c r="C521" t="inlineStr">
        <is>
          <t>W03 Assignment: Model-View-Controller Implementation</t>
        </is>
      </c>
      <c r="D521" t="n">
        <v>4</v>
      </c>
      <c r="E521" t="n">
        <v>5</v>
      </c>
      <c r="F521" t="n">
        <v>100</v>
      </c>
      <c r="G521" t="n">
        <v>0.7</v>
      </c>
      <c r="H521" t="inlineStr">
        <is>
          <t>y</t>
        </is>
      </c>
      <c r="I521" s="87" t="n">
        <v>46226</v>
      </c>
      <c r="J521" s="87" t="n">
        <v>46229</v>
      </c>
      <c r="K521" s="87" t="n">
        <v>46229</v>
      </c>
      <c r="L521" t="n">
        <v>70</v>
      </c>
      <c r="M521" t="inlineStr">
        <is>
          <t>Low Performance: W03 Assignment: Model-View-Controller Implementation</t>
        </is>
      </c>
      <c r="N521" t="inlineStr">
        <is>
          <t xml:space="preserve">At Risk. Student scored below 70% on W03 Assignment: Model-View-Controller Implementation. Check in to see how you can help. </t>
        </is>
      </c>
    </row>
    <row r="522" ht="32.1" customHeight="1">
      <c r="A522" t="inlineStr">
        <is>
          <t>CSE340</t>
        </is>
      </c>
      <c r="B522" t="inlineStr">
        <is>
          <t>Low Performance</t>
        </is>
      </c>
      <c r="C522" s="89" t="inlineStr">
        <is>
          <t xml:space="preserve">
W04 Assignment: Inserting and Updating Data</t>
        </is>
      </c>
      <c r="D522" t="n">
        <v>5</v>
      </c>
      <c r="E522" t="n">
        <v>5</v>
      </c>
      <c r="F522" t="n">
        <v>100</v>
      </c>
      <c r="G522" t="n">
        <v>0.7</v>
      </c>
      <c r="H522" t="inlineStr">
        <is>
          <t>y</t>
        </is>
      </c>
      <c r="I522" s="87" t="n">
        <v>46233</v>
      </c>
      <c r="J522" s="87" t="n">
        <v>46236</v>
      </c>
      <c r="K522" s="87" t="n">
        <v>46236</v>
      </c>
      <c r="L522" t="n">
        <v>70</v>
      </c>
      <c r="M522" t="inlineStr">
        <is>
          <t>Low Performance: W04 Assignment: Inserting and Updating Data</t>
        </is>
      </c>
      <c r="N522" t="inlineStr">
        <is>
          <t xml:space="preserve">At Risk. Student scored below 70% on W04 Assignment: Inserting and Updating Data. Check in to see how you can help. </t>
        </is>
      </c>
    </row>
    <row r="523">
      <c r="A523" t="inlineStr">
        <is>
          <t>CSE340</t>
        </is>
      </c>
      <c r="B523" t="inlineStr">
        <is>
          <t>Low Performance</t>
        </is>
      </c>
      <c r="C523" t="inlineStr">
        <is>
          <t>W05 Assignment: Authentication and Authorization</t>
        </is>
      </c>
      <c r="D523" t="n">
        <v>6</v>
      </c>
      <c r="E523" t="n">
        <v>5</v>
      </c>
      <c r="F523" t="n">
        <v>100</v>
      </c>
      <c r="G523" t="n">
        <v>0.7</v>
      </c>
      <c r="H523" t="inlineStr">
        <is>
          <t>y</t>
        </is>
      </c>
      <c r="I523" s="87" t="n">
        <v>46240</v>
      </c>
      <c r="J523" s="87" t="n">
        <v>46243</v>
      </c>
      <c r="K523" s="87" t="n">
        <v>46243</v>
      </c>
      <c r="L523" t="n">
        <v>70</v>
      </c>
      <c r="M523" t="inlineStr">
        <is>
          <t>Low Performance: W05 Assignment: Authentication and Authorization</t>
        </is>
      </c>
      <c r="N523" t="inlineStr">
        <is>
          <t xml:space="preserve">At Risk. Student scored below 70% on W05 Assignment: Authentication and Authorization. Check in to see how you can help. </t>
        </is>
      </c>
    </row>
    <row r="524">
      <c r="A524" t="inlineStr">
        <is>
          <t>CSE340</t>
        </is>
      </c>
      <c r="B524" t="inlineStr">
        <is>
          <t>Missing Assignment</t>
        </is>
      </c>
      <c r="C524" t="inlineStr">
        <is>
          <t>W01 Assignment: Initial Site Creation</t>
        </is>
      </c>
      <c r="D524" t="n">
        <v>2</v>
      </c>
      <c r="E524" t="n">
        <v>2</v>
      </c>
      <c r="F524" t="n">
        <v>100</v>
      </c>
      <c r="G524" t="inlineStr">
        <is>
          <t xml:space="preserve"> </t>
        </is>
      </c>
      <c r="H524" t="inlineStr">
        <is>
          <t>y</t>
        </is>
      </c>
      <c r="I524" s="87" t="n">
        <v>46209</v>
      </c>
      <c r="J524" s="87" t="n">
        <v>46212</v>
      </c>
      <c r="K524" s="87" t="n">
        <v>46215</v>
      </c>
      <c r="L524" t="e">
        <v>#VALUE!</v>
      </c>
      <c r="M524" t="inlineStr">
        <is>
          <t>Missing Assignment: W01 Assignment: Initial Site Creation</t>
        </is>
      </c>
      <c r="N524" t="inlineStr">
        <is>
          <t>Check in with student missing W01 Assignment: Initial Site Creation</t>
        </is>
      </c>
    </row>
    <row r="525" ht="32.1" customHeight="1">
      <c r="A525" t="inlineStr">
        <is>
          <t>CSE340</t>
        </is>
      </c>
      <c r="B525" t="inlineStr">
        <is>
          <t>Missing Assignment</t>
        </is>
      </c>
      <c r="C525" s="89" t="inlineStr">
        <is>
          <t xml:space="preserve">
W02 Assignment: Database Retrieval</t>
        </is>
      </c>
      <c r="D525" t="n">
        <v>3</v>
      </c>
      <c r="E525" t="n">
        <v>2</v>
      </c>
      <c r="H525" t="inlineStr">
        <is>
          <t>y</t>
        </is>
      </c>
      <c r="I525" s="87" t="n">
        <v>46216</v>
      </c>
      <c r="J525" s="87" t="n">
        <v>46219</v>
      </c>
      <c r="K525" s="87" t="n">
        <v>46222</v>
      </c>
      <c r="L525" t="n">
        <v>0</v>
      </c>
      <c r="M525" t="inlineStr">
        <is>
          <t>Missing Assignment: W02 Assignment: Database Retrieval</t>
        </is>
      </c>
      <c r="N525" t="inlineStr">
        <is>
          <t>Check in with student missing W02 Assignment: Database Retrieval</t>
        </is>
      </c>
    </row>
    <row r="526">
      <c r="A526" t="inlineStr">
        <is>
          <t>CSE340</t>
        </is>
      </c>
      <c r="B526" t="inlineStr">
        <is>
          <t>Missing Assignment</t>
        </is>
      </c>
      <c r="C526" t="inlineStr">
        <is>
          <t>W03 Assignment: Model-View-Controller Implementation</t>
        </is>
      </c>
      <c r="D526" t="n">
        <v>4</v>
      </c>
      <c r="E526" t="n">
        <v>2</v>
      </c>
      <c r="F526" t="n">
        <v>100</v>
      </c>
      <c r="H526" t="inlineStr">
        <is>
          <t>y</t>
        </is>
      </c>
      <c r="I526" s="87" t="n">
        <v>46223</v>
      </c>
      <c r="J526" s="87" t="n">
        <v>46226</v>
      </c>
      <c r="K526" s="87" t="n">
        <v>46229</v>
      </c>
      <c r="L526" t="n">
        <v>0</v>
      </c>
      <c r="M526" t="inlineStr">
        <is>
          <t>Missing Assignment: W03 Assignment: Model-View-Controller Implementation</t>
        </is>
      </c>
      <c r="N526" t="inlineStr">
        <is>
          <t>Check in with student missing W03 Assignment: Model-View-Controller Implementation</t>
        </is>
      </c>
    </row>
    <row r="527" ht="32.1" customHeight="1">
      <c r="A527" t="inlineStr">
        <is>
          <t>CSE340</t>
        </is>
      </c>
      <c r="B527" t="inlineStr">
        <is>
          <t>Missing Assignment</t>
        </is>
      </c>
      <c r="C527" s="89" t="inlineStr">
        <is>
          <t xml:space="preserve">
W04 Assignment: Inserting and Updating Data</t>
        </is>
      </c>
      <c r="D527" t="n">
        <v>5</v>
      </c>
      <c r="E527" t="n">
        <v>2</v>
      </c>
      <c r="H527" t="inlineStr">
        <is>
          <t>y</t>
        </is>
      </c>
      <c r="I527" s="87" t="n">
        <v>46230</v>
      </c>
      <c r="J527" s="87" t="n">
        <v>46233</v>
      </c>
      <c r="K527" s="87" t="n">
        <v>46236</v>
      </c>
      <c r="L527" t="n">
        <v>0</v>
      </c>
      <c r="M527" t="inlineStr">
        <is>
          <t>Missing Assignment: W04 Assignment: Inserting and Updating Data</t>
        </is>
      </c>
      <c r="N527" t="inlineStr">
        <is>
          <t>Check in with student missing W04 Assignment: Inserting and Updating Data</t>
        </is>
      </c>
    </row>
    <row r="528">
      <c r="A528" t="inlineStr">
        <is>
          <t>CSE340</t>
        </is>
      </c>
      <c r="B528" t="inlineStr">
        <is>
          <t>Missing Assignment</t>
        </is>
      </c>
      <c r="C528" t="inlineStr">
        <is>
          <t>W05 Assignment: Authentication and Authorization</t>
        </is>
      </c>
      <c r="D528" t="n">
        <v>6</v>
      </c>
      <c r="E528" t="n">
        <v>2</v>
      </c>
      <c r="F528" t="n">
        <v>100</v>
      </c>
      <c r="H528" t="inlineStr">
        <is>
          <t>y</t>
        </is>
      </c>
      <c r="I528" s="87" t="n">
        <v>46237</v>
      </c>
      <c r="J528" s="87" t="n">
        <v>46240</v>
      </c>
      <c r="K528" s="87" t="n">
        <v>46243</v>
      </c>
      <c r="L528" t="n">
        <v>0</v>
      </c>
      <c r="M528" t="inlineStr">
        <is>
          <t>Missing Assignment: W05 Assignment: Authentication and Authorization</t>
        </is>
      </c>
      <c r="N528" t="inlineStr">
        <is>
          <t>Check in with student missing W05 Assignment: Authentication and Authorization</t>
        </is>
      </c>
    </row>
    <row r="529">
      <c r="A529" t="inlineStr">
        <is>
          <t>CSE341</t>
        </is>
      </c>
      <c r="B529" t="inlineStr">
        <is>
          <t>Grader-Issued 0</t>
        </is>
      </c>
      <c r="C529" t="inlineStr">
        <is>
          <t>W01 Project: Contacts Part 1</t>
        </is>
      </c>
      <c r="D529" t="n">
        <v>2</v>
      </c>
      <c r="E529" t="n">
        <v>4</v>
      </c>
      <c r="F529" t="n">
        <v>100</v>
      </c>
      <c r="H529" t="inlineStr">
        <is>
          <t>y</t>
        </is>
      </c>
      <c r="I529" s="87" t="n">
        <v>46211</v>
      </c>
      <c r="J529" s="87" t="n">
        <v>46214</v>
      </c>
      <c r="K529" s="87" t="n">
        <v>46215</v>
      </c>
      <c r="L529" t="n">
        <v>0</v>
      </c>
      <c r="M529" t="inlineStr">
        <is>
          <t>Grader issued 0 on W01 Project: Contacts Part 1</t>
        </is>
      </c>
      <c r="N529" t="inlineStr">
        <is>
          <t>Grader issued 0 for W01 Project: Contacts Part 1. Log into Canvas and see the grader comments. Work with the student to help resubmit.</t>
        </is>
      </c>
    </row>
    <row r="530">
      <c r="A530" t="inlineStr">
        <is>
          <t>CSE341</t>
        </is>
      </c>
      <c r="B530" t="inlineStr">
        <is>
          <t>Grader-Issued 0</t>
        </is>
      </c>
      <c r="C530" t="inlineStr">
        <is>
          <t>W02 Project Contacts Part 2</t>
        </is>
      </c>
      <c r="D530" t="n">
        <v>3</v>
      </c>
      <c r="E530" t="n">
        <v>4</v>
      </c>
      <c r="F530" t="n">
        <v>100</v>
      </c>
      <c r="H530" t="inlineStr">
        <is>
          <t>y</t>
        </is>
      </c>
      <c r="I530" s="87" t="n">
        <v>46218</v>
      </c>
      <c r="J530" s="87" t="n">
        <v>46221</v>
      </c>
      <c r="K530" s="87" t="n">
        <v>46222</v>
      </c>
      <c r="L530" t="n">
        <v>0</v>
      </c>
      <c r="M530" t="inlineStr">
        <is>
          <t>Grader issued 0 on  W02 Project Contacts Part 2</t>
        </is>
      </c>
      <c r="N530" t="inlineStr">
        <is>
          <t>Grader issued 0 for  W02 Project Contacts Part 2</t>
        </is>
      </c>
    </row>
    <row r="531">
      <c r="A531" t="inlineStr">
        <is>
          <t>CSE341</t>
        </is>
      </c>
      <c r="B531" t="inlineStr">
        <is>
          <t>Grader-Issued 0</t>
        </is>
      </c>
      <c r="C531" t="inlineStr">
        <is>
          <t>W03 Project: Project 2 Part 1 (CRUD Operations)</t>
        </is>
      </c>
      <c r="D531" t="n">
        <v>4</v>
      </c>
      <c r="E531" t="n">
        <v>4</v>
      </c>
      <c r="F531" t="n">
        <v>100</v>
      </c>
      <c r="H531" t="inlineStr">
        <is>
          <t>y</t>
        </is>
      </c>
      <c r="I531" s="87" t="n">
        <v>46225</v>
      </c>
      <c r="J531" s="87" t="n">
        <v>46228</v>
      </c>
      <c r="K531" s="87" t="n">
        <v>46229</v>
      </c>
      <c r="L531" t="n">
        <v>0</v>
      </c>
      <c r="M531" t="inlineStr">
        <is>
          <t>Grader issued 0 on W03 Project: Project 2 Part 1</t>
        </is>
      </c>
      <c r="N531" t="inlineStr">
        <is>
          <t>Grader issued 0 for W03 Project: Project 2 Part 1</t>
        </is>
      </c>
    </row>
    <row r="532">
      <c r="A532" t="inlineStr">
        <is>
          <t>CSE341</t>
        </is>
      </c>
      <c r="B532" t="inlineStr">
        <is>
          <t>Grader-Issued 0</t>
        </is>
      </c>
      <c r="C532" t="inlineStr">
        <is>
          <t>W04 Project: Project 2 Part 2 (Authentication)</t>
        </is>
      </c>
      <c r="D532" t="n">
        <v>5</v>
      </c>
      <c r="E532" t="n">
        <v>4</v>
      </c>
      <c r="F532" t="n">
        <v>100</v>
      </c>
      <c r="H532" t="inlineStr">
        <is>
          <t>y</t>
        </is>
      </c>
      <c r="I532" s="87" t="n">
        <v>46232</v>
      </c>
      <c r="J532" s="87" t="n">
        <v>46235</v>
      </c>
      <c r="K532" s="87" t="n">
        <v>46236</v>
      </c>
      <c r="L532" t="n">
        <v>0</v>
      </c>
      <c r="M532" t="inlineStr">
        <is>
          <t>Grader issued 0 on  W04 Project: Project 2 Part 2</t>
        </is>
      </c>
      <c r="N532" t="inlineStr">
        <is>
          <t>Grader issued 0 for  W04 Project: Project 2 Part 2</t>
        </is>
      </c>
    </row>
    <row r="533">
      <c r="A533" t="inlineStr">
        <is>
          <t>CSE341</t>
        </is>
      </c>
      <c r="B533" t="inlineStr">
        <is>
          <t>Grader-Issued 0</t>
        </is>
      </c>
      <c r="C533" t="inlineStr">
        <is>
          <t>W05 Final Project Part 1: First Two Collections with Crud Operations and API Documentation</t>
        </is>
      </c>
      <c r="D533" t="n">
        <v>6</v>
      </c>
      <c r="E533" t="n">
        <v>4</v>
      </c>
      <c r="F533" t="n">
        <v>100</v>
      </c>
      <c r="H533" t="inlineStr">
        <is>
          <t>y</t>
        </is>
      </c>
      <c r="I533" s="87" t="n">
        <v>46239</v>
      </c>
      <c r="J533" s="87" t="n">
        <v>46242</v>
      </c>
      <c r="K533" s="87" t="n">
        <v>46243</v>
      </c>
      <c r="L533" t="n">
        <v>0</v>
      </c>
      <c r="M533" t="inlineStr">
        <is>
          <t>Grader issued 0 on W05 Final Project Part 1</t>
        </is>
      </c>
      <c r="N533" t="inlineStr">
        <is>
          <t>Grader issued 0 for W05 Final Project Part 1: First Two Collections with Crud Operations and API Documentation</t>
        </is>
      </c>
    </row>
    <row r="534">
      <c r="A534" t="inlineStr">
        <is>
          <t>CSE341</t>
        </is>
      </c>
      <c r="B534" t="inlineStr">
        <is>
          <t>High Performance</t>
        </is>
      </c>
      <c r="C534" t="inlineStr">
        <is>
          <t>W01 Project: Contacts Part 1</t>
        </is>
      </c>
      <c r="D534" t="n">
        <v>2</v>
      </c>
      <c r="E534" t="n">
        <v>5</v>
      </c>
      <c r="F534" t="n">
        <v>100</v>
      </c>
      <c r="G534" t="n">
        <v>0.9</v>
      </c>
      <c r="H534" t="inlineStr">
        <is>
          <t>y</t>
        </is>
      </c>
      <c r="I534" s="87" t="n">
        <v>46212</v>
      </c>
      <c r="J534" s="87" t="n">
        <v>46215</v>
      </c>
      <c r="K534" s="87" t="n">
        <v>46215</v>
      </c>
      <c r="L534" t="n">
        <v>90</v>
      </c>
      <c r="M534" t="inlineStr">
        <is>
          <t>High Performance: W01 Project: Contacts Part 1</t>
        </is>
      </c>
      <c r="N534" t="inlineStr">
        <is>
          <t>Provide Positive Feedback on W01 Project: Contacts Part 1</t>
        </is>
      </c>
    </row>
    <row r="535" ht="32.1" customHeight="1">
      <c r="A535" t="inlineStr">
        <is>
          <t>CSE341</t>
        </is>
      </c>
      <c r="B535" t="inlineStr">
        <is>
          <t>High Performance</t>
        </is>
      </c>
      <c r="C535" s="89" t="inlineStr">
        <is>
          <t xml:space="preserve">
W02 Project Contacts Part 2</t>
        </is>
      </c>
      <c r="D535" t="n">
        <v>3</v>
      </c>
      <c r="E535" t="n">
        <v>5</v>
      </c>
      <c r="F535" t="n">
        <v>100</v>
      </c>
      <c r="G535" t="n">
        <v>0.9</v>
      </c>
      <c r="H535" t="inlineStr">
        <is>
          <t>y</t>
        </is>
      </c>
      <c r="I535" s="87" t="n">
        <v>46219</v>
      </c>
      <c r="J535" s="87" t="n">
        <v>46222</v>
      </c>
      <c r="K535" s="87" t="n">
        <v>46222</v>
      </c>
      <c r="L535" t="n">
        <v>90</v>
      </c>
      <c r="M535" t="inlineStr">
        <is>
          <t>High Performance:  W02 Project Contacts Part 2</t>
        </is>
      </c>
      <c r="N535" t="inlineStr">
        <is>
          <t>Provide Positive Feedback on  W02 Project Contacts Part 2</t>
        </is>
      </c>
    </row>
    <row r="536">
      <c r="A536" t="inlineStr">
        <is>
          <t>CSE341</t>
        </is>
      </c>
      <c r="B536" t="inlineStr">
        <is>
          <t>High Performance</t>
        </is>
      </c>
      <c r="C536" t="inlineStr">
        <is>
          <t>W03 Project: Project 2 Part 1 (CRUD Operations)</t>
        </is>
      </c>
      <c r="D536" t="n">
        <v>4</v>
      </c>
      <c r="E536" t="n">
        <v>5</v>
      </c>
      <c r="F536" t="n">
        <v>100</v>
      </c>
      <c r="G536" t="n">
        <v>0.9</v>
      </c>
      <c r="H536" t="inlineStr">
        <is>
          <t>y</t>
        </is>
      </c>
      <c r="I536" s="87" t="n">
        <v>46226</v>
      </c>
      <c r="J536" s="87" t="n">
        <v>46229</v>
      </c>
      <c r="K536" s="87" t="n">
        <v>46229</v>
      </c>
      <c r="L536" t="n">
        <v>90</v>
      </c>
      <c r="M536" t="inlineStr">
        <is>
          <t>High Performance: W03 Project: Project 2 Part 1</t>
        </is>
      </c>
      <c r="N536" t="inlineStr">
        <is>
          <t>Provide Positive Feedback on W03 Project: Project 2 Part 1</t>
        </is>
      </c>
    </row>
    <row r="537">
      <c r="A537" t="inlineStr">
        <is>
          <t>CSE341</t>
        </is>
      </c>
      <c r="B537" t="inlineStr">
        <is>
          <t>High Performance</t>
        </is>
      </c>
      <c r="C537" t="inlineStr">
        <is>
          <t>W04 Project: Project 2 Part 2 (Authentication)</t>
        </is>
      </c>
      <c r="D537" t="n">
        <v>5</v>
      </c>
      <c r="E537" t="n">
        <v>5</v>
      </c>
      <c r="F537" t="n">
        <v>100</v>
      </c>
      <c r="G537" t="n">
        <v>0.9</v>
      </c>
      <c r="H537" t="inlineStr">
        <is>
          <t>y</t>
        </is>
      </c>
      <c r="I537" s="87" t="n">
        <v>46233</v>
      </c>
      <c r="J537" s="87" t="n">
        <v>46236</v>
      </c>
      <c r="K537" s="87" t="n">
        <v>46236</v>
      </c>
      <c r="L537" t="n">
        <v>90</v>
      </c>
      <c r="M537" t="inlineStr">
        <is>
          <t>High Performance:  W04 Project: Project 2 Part 2</t>
        </is>
      </c>
      <c r="N537" t="inlineStr">
        <is>
          <t>Provide Positive Feedback on  W04 Project: Project 2 Part 2</t>
        </is>
      </c>
    </row>
    <row r="538">
      <c r="A538" t="inlineStr">
        <is>
          <t>CSE341</t>
        </is>
      </c>
      <c r="B538" t="inlineStr">
        <is>
          <t>High Performance</t>
        </is>
      </c>
      <c r="C538" t="inlineStr">
        <is>
          <t>W05 Final Project Part 1: First Two Collections with Crud Operations and API Documentation</t>
        </is>
      </c>
      <c r="D538" t="n">
        <v>6</v>
      </c>
      <c r="E538" t="n">
        <v>5</v>
      </c>
      <c r="F538" t="n">
        <v>100</v>
      </c>
      <c r="G538" t="n">
        <v>0.9</v>
      </c>
      <c r="H538" t="inlineStr">
        <is>
          <t>y</t>
        </is>
      </c>
      <c r="I538" s="87" t="n">
        <v>46240</v>
      </c>
      <c r="J538" s="87" t="n">
        <v>46243</v>
      </c>
      <c r="K538" s="87" t="n">
        <v>46243</v>
      </c>
      <c r="L538" t="n">
        <v>90</v>
      </c>
      <c r="M538" t="inlineStr">
        <is>
          <t>High Performance: W05 Final Project Part 1</t>
        </is>
      </c>
      <c r="N538" t="inlineStr">
        <is>
          <t>Provide Positive Feedback on W05 Final Project Part 1: First Two Collections with Crud Operations and API Documentation</t>
        </is>
      </c>
    </row>
    <row r="539">
      <c r="A539" t="inlineStr">
        <is>
          <t>CSE341</t>
        </is>
      </c>
      <c r="B539" t="inlineStr">
        <is>
          <t>Low Performance</t>
        </is>
      </c>
      <c r="C539" t="inlineStr">
        <is>
          <t>W01 Project: Contacts Part 1</t>
        </is>
      </c>
      <c r="D539" t="n">
        <v>2</v>
      </c>
      <c r="E539" t="n">
        <v>5</v>
      </c>
      <c r="F539" t="n">
        <v>100</v>
      </c>
      <c r="G539" t="n">
        <v>0.7</v>
      </c>
      <c r="H539" t="inlineStr">
        <is>
          <t>y</t>
        </is>
      </c>
      <c r="I539" s="87" t="n">
        <v>46212</v>
      </c>
      <c r="J539" s="87" t="n">
        <v>46215</v>
      </c>
      <c r="K539" s="87" t="n">
        <v>46215</v>
      </c>
      <c r="L539" t="n">
        <v>70</v>
      </c>
      <c r="M539" t="inlineStr">
        <is>
          <t>Low Performance: W01 Project: Contacts Part 1</t>
        </is>
      </c>
      <c r="N539" t="inlineStr">
        <is>
          <t xml:space="preserve">At Risk. Student scored below 70% on W01 Project: Contacts Part 1. Check in to see how you can help. </t>
        </is>
      </c>
    </row>
    <row r="540" ht="32.1" customHeight="1">
      <c r="A540" t="inlineStr">
        <is>
          <t>CSE341</t>
        </is>
      </c>
      <c r="B540" t="inlineStr">
        <is>
          <t>Low Performance</t>
        </is>
      </c>
      <c r="C540" s="89" t="inlineStr">
        <is>
          <t xml:space="preserve">
W02 Project Contacts Part 2</t>
        </is>
      </c>
      <c r="D540" t="n">
        <v>3</v>
      </c>
      <c r="E540" t="n">
        <v>5</v>
      </c>
      <c r="F540" t="n">
        <v>100</v>
      </c>
      <c r="G540" t="n">
        <v>0.7</v>
      </c>
      <c r="H540" t="inlineStr">
        <is>
          <t>y</t>
        </is>
      </c>
      <c r="I540" s="87" t="n">
        <v>46219</v>
      </c>
      <c r="J540" s="87" t="n">
        <v>46222</v>
      </c>
      <c r="K540" s="87" t="n">
        <v>46222</v>
      </c>
      <c r="L540" t="n">
        <v>70</v>
      </c>
      <c r="M540" t="inlineStr">
        <is>
          <t>Low Performance:  W02 Project Contacts Part 2</t>
        </is>
      </c>
      <c r="N540" t="inlineStr">
        <is>
          <t xml:space="preserve">At Risk. Student scored below 70% on  W02 Project Contacts Part 2. Check in to see how you can help. </t>
        </is>
      </c>
    </row>
    <row r="541">
      <c r="A541" t="inlineStr">
        <is>
          <t>CSE341</t>
        </is>
      </c>
      <c r="B541" t="inlineStr">
        <is>
          <t>Low Performance</t>
        </is>
      </c>
      <c r="C541" t="inlineStr">
        <is>
          <t>W03 Project: Project 2 Part 1 (CRUD Operations)</t>
        </is>
      </c>
      <c r="D541" t="n">
        <v>4</v>
      </c>
      <c r="E541" t="n">
        <v>5</v>
      </c>
      <c r="F541" t="n">
        <v>100</v>
      </c>
      <c r="G541" t="n">
        <v>0.7</v>
      </c>
      <c r="H541" t="inlineStr">
        <is>
          <t>y</t>
        </is>
      </c>
      <c r="I541" s="87" t="n">
        <v>46226</v>
      </c>
      <c r="J541" s="87" t="n">
        <v>46229</v>
      </c>
      <c r="K541" s="87" t="n">
        <v>46229</v>
      </c>
      <c r="L541" t="n">
        <v>70</v>
      </c>
      <c r="M541" t="inlineStr">
        <is>
          <t>Low Performance: W03 Project: Project 2 Part 1</t>
        </is>
      </c>
      <c r="N541" t="inlineStr">
        <is>
          <t xml:space="preserve">At Risk. Student scored below 70% on W03 Project: Project 2 Part 1. Check in to see how you can help. </t>
        </is>
      </c>
    </row>
    <row r="542">
      <c r="A542" t="inlineStr">
        <is>
          <t>CSE341</t>
        </is>
      </c>
      <c r="B542" t="inlineStr">
        <is>
          <t>Low Performance</t>
        </is>
      </c>
      <c r="C542" t="inlineStr">
        <is>
          <t>W04 Project: Project 2 Part 2 (Authentication)</t>
        </is>
      </c>
      <c r="D542" t="n">
        <v>5</v>
      </c>
      <c r="E542" t="n">
        <v>5</v>
      </c>
      <c r="F542" t="n">
        <v>100</v>
      </c>
      <c r="G542" t="n">
        <v>0.7</v>
      </c>
      <c r="H542" t="inlineStr">
        <is>
          <t>y</t>
        </is>
      </c>
      <c r="I542" s="87" t="n">
        <v>46233</v>
      </c>
      <c r="J542" s="87" t="n">
        <v>46236</v>
      </c>
      <c r="K542" s="87" t="n">
        <v>46236</v>
      </c>
      <c r="L542" t="n">
        <v>70</v>
      </c>
      <c r="M542" t="inlineStr">
        <is>
          <t>Low Performance:  W04 Project: Project 2 Part 2</t>
        </is>
      </c>
      <c r="N542" t="inlineStr">
        <is>
          <t xml:space="preserve">At Risk. Student scored below 70% on  W04 Project 2 Part 2. Check in to see how you can help. </t>
        </is>
      </c>
    </row>
    <row r="543">
      <c r="A543" t="inlineStr">
        <is>
          <t>CSE341</t>
        </is>
      </c>
      <c r="B543" t="inlineStr">
        <is>
          <t>Low Performance</t>
        </is>
      </c>
      <c r="C543" t="inlineStr">
        <is>
          <t>W05 Final Project Part 1: First Two Collections with Crud Operations and API Documentation</t>
        </is>
      </c>
      <c r="D543" t="n">
        <v>6</v>
      </c>
      <c r="E543" t="n">
        <v>5</v>
      </c>
      <c r="F543" t="n">
        <v>100</v>
      </c>
      <c r="G543" t="n">
        <v>0.7</v>
      </c>
      <c r="H543" t="inlineStr">
        <is>
          <t>y</t>
        </is>
      </c>
      <c r="I543" s="87" t="n">
        <v>46240</v>
      </c>
      <c r="J543" s="87" t="n">
        <v>46243</v>
      </c>
      <c r="K543" s="87" t="n">
        <v>46243</v>
      </c>
      <c r="L543" t="n">
        <v>70</v>
      </c>
      <c r="M543" t="inlineStr">
        <is>
          <t>Low Performance: W05 Final Project Part 1</t>
        </is>
      </c>
      <c r="N543" t="inlineStr">
        <is>
          <t xml:space="preserve">At Risk. Student scored below 70% on W05 Final Project Part 1: First Two Collections with Crud Operations and API Documentation. Check in to see how you can help. </t>
        </is>
      </c>
    </row>
    <row r="544">
      <c r="A544" t="inlineStr">
        <is>
          <t>CSE370</t>
        </is>
      </c>
      <c r="B544" t="inlineStr">
        <is>
          <t>Grader-Issued 0</t>
        </is>
      </c>
      <c r="C544" t="inlineStr">
        <is>
          <t>W01 Assignment: Software Methodology Analysis</t>
        </is>
      </c>
      <c r="D544" t="n">
        <v>2</v>
      </c>
      <c r="E544" t="n">
        <v>4</v>
      </c>
      <c r="H544" t="inlineStr">
        <is>
          <t>y</t>
        </is>
      </c>
      <c r="I544" s="87" t="n">
        <v>46211</v>
      </c>
      <c r="J544" s="87" t="n">
        <v>46214</v>
      </c>
      <c r="K544" s="87" t="n">
        <v>46215</v>
      </c>
      <c r="L544" t="n">
        <v>0</v>
      </c>
      <c r="M544" t="inlineStr">
        <is>
          <t>Grader issued 0 on W01 Assignment: Software Methodology Analysis</t>
        </is>
      </c>
      <c r="N544" t="inlineStr">
        <is>
          <t>The student was given a Grader issued 0 on W01 Assignment: Software Methodology Analysis. Log into Canvas and see the grader comments. Work with the student to help resubmit.</t>
        </is>
      </c>
    </row>
    <row r="545">
      <c r="A545" t="inlineStr">
        <is>
          <t>CSE370</t>
        </is>
      </c>
      <c r="B545" t="inlineStr">
        <is>
          <t>Grader-Issued 0</t>
        </is>
      </c>
      <c r="C545" t="inlineStr">
        <is>
          <t>W02 Assignment: Case Study Analysis</t>
        </is>
      </c>
      <c r="D545" t="n">
        <v>3</v>
      </c>
      <c r="E545" t="n">
        <v>4</v>
      </c>
      <c r="H545" t="inlineStr">
        <is>
          <t>y</t>
        </is>
      </c>
      <c r="I545" s="87" t="n">
        <v>46218</v>
      </c>
      <c r="J545" s="87" t="n">
        <v>46221</v>
      </c>
      <c r="K545" s="87" t="n">
        <v>46222</v>
      </c>
      <c r="L545" t="n">
        <v>0</v>
      </c>
      <c r="M545" t="inlineStr">
        <is>
          <t>Grader issued 0 on W02 Assignment: Case Study Analysis</t>
        </is>
      </c>
      <c r="N545" t="inlineStr">
        <is>
          <t>The student was given a Grader issued 0 on W02 Assignment: Case Study Analysis. Log into Canvas and see the grader comments. Work with the student to help resubmit.</t>
        </is>
      </c>
    </row>
    <row r="546">
      <c r="A546" t="inlineStr">
        <is>
          <t>CSE370</t>
        </is>
      </c>
      <c r="B546" t="inlineStr">
        <is>
          <t>Grader-Issued 0</t>
        </is>
      </c>
      <c r="C546" t="inlineStr">
        <is>
          <t>W03 Assignment: Case Study Analysis</t>
        </is>
      </c>
      <c r="D546" t="n">
        <v>4</v>
      </c>
      <c r="E546" t="n">
        <v>4</v>
      </c>
      <c r="H546" t="inlineStr">
        <is>
          <t>y</t>
        </is>
      </c>
      <c r="I546" s="87" t="n">
        <v>46225</v>
      </c>
      <c r="J546" s="87" t="n">
        <v>46228</v>
      </c>
      <c r="K546" s="87" t="n">
        <v>46229</v>
      </c>
      <c r="L546" t="n">
        <v>0</v>
      </c>
      <c r="M546" t="inlineStr">
        <is>
          <t>Grader issued 0 on W03 Assignment: Case Study Analysis</t>
        </is>
      </c>
      <c r="N546" t="inlineStr">
        <is>
          <t>The student was given a Grader issued 0 on Case Study Analysis. Log into Canvas and see the grader comments. Work with the student to help resubmit.</t>
        </is>
      </c>
    </row>
    <row r="547">
      <c r="A547" t="inlineStr">
        <is>
          <t>CSE370</t>
        </is>
      </c>
      <c r="B547" t="inlineStr">
        <is>
          <t>Grader-Issued 0</t>
        </is>
      </c>
      <c r="C547" t="inlineStr">
        <is>
          <t>W04 Assignment: Case Study Analysis</t>
        </is>
      </c>
      <c r="D547" t="n">
        <v>5</v>
      </c>
      <c r="E547" t="n">
        <v>4</v>
      </c>
      <c r="H547" t="inlineStr">
        <is>
          <t>y</t>
        </is>
      </c>
      <c r="I547" s="87" t="n">
        <v>46232</v>
      </c>
      <c r="J547" s="87" t="n">
        <v>46235</v>
      </c>
      <c r="K547" s="87" t="n">
        <v>46236</v>
      </c>
      <c r="L547" t="n">
        <v>0</v>
      </c>
      <c r="M547" t="inlineStr">
        <is>
          <t>Grader issued 0 on W04 Assignment: Case Study Analysis</t>
        </is>
      </c>
      <c r="N547" t="inlineStr">
        <is>
          <t>The student was given a Grader issued 0 on Case Study Analysis. Log into Canvas and see the grader comments. Work with the student to help resubmit.</t>
        </is>
      </c>
    </row>
    <row r="548">
      <c r="A548" t="inlineStr">
        <is>
          <t>CSE370</t>
        </is>
      </c>
      <c r="B548" t="inlineStr">
        <is>
          <t>Grader-Issued 0</t>
        </is>
      </c>
      <c r="C548" t="inlineStr">
        <is>
          <t>W05 Assignment: Case Study Analysis</t>
        </is>
      </c>
      <c r="D548" t="n">
        <v>6</v>
      </c>
      <c r="E548" t="n">
        <v>4</v>
      </c>
      <c r="H548" t="inlineStr">
        <is>
          <t>y</t>
        </is>
      </c>
      <c r="I548" s="87" t="n">
        <v>46239</v>
      </c>
      <c r="J548" s="87" t="n">
        <v>46242</v>
      </c>
      <c r="K548" s="87" t="n">
        <v>46243</v>
      </c>
      <c r="L548" t="n">
        <v>0</v>
      </c>
      <c r="M548" t="inlineStr">
        <is>
          <t>Grader issued 0 on W05 Assignment: Case Study Analysis</t>
        </is>
      </c>
      <c r="N548" t="inlineStr">
        <is>
          <t>The student was given a Grader issued 0 on W05 Assignment: Case Study Analysis. Log into Canvas and see the grader comments. Work with the student to help resubmit.</t>
        </is>
      </c>
    </row>
    <row r="549">
      <c r="A549" t="inlineStr">
        <is>
          <t>CSE370</t>
        </is>
      </c>
      <c r="B549" t="inlineStr">
        <is>
          <t>Grader-Issued 0</t>
        </is>
      </c>
      <c r="C549" t="inlineStr">
        <is>
          <t>W06 Assignment: Case Study Analysis</t>
        </is>
      </c>
      <c r="D549" t="n">
        <v>7</v>
      </c>
      <c r="E549" t="n">
        <v>3</v>
      </c>
      <c r="H549" t="inlineStr">
        <is>
          <t>y</t>
        </is>
      </c>
      <c r="I549" s="87" t="n">
        <v>46245</v>
      </c>
      <c r="J549" s="87" t="n">
        <v>46248</v>
      </c>
      <c r="K549" s="87" t="n">
        <v>46250</v>
      </c>
      <c r="L549" t="n">
        <v>0</v>
      </c>
      <c r="M549" t="inlineStr">
        <is>
          <t>Grader issued 0 on W06 Assignment: Case Study Analysis</t>
        </is>
      </c>
      <c r="N549" t="inlineStr">
        <is>
          <t>The student was given a Grader issued 0 on W06 Assignment: Case Study Analysis. Log into Canvas and see the grader comments. Work with the student to help resubmit.</t>
        </is>
      </c>
    </row>
    <row r="550">
      <c r="A550" t="inlineStr">
        <is>
          <t>CSE370</t>
        </is>
      </c>
      <c r="B550" t="inlineStr">
        <is>
          <t>High Performance</t>
        </is>
      </c>
      <c r="C550" t="inlineStr">
        <is>
          <t>W01 Assignment: Software Methodology Analysis</t>
        </is>
      </c>
      <c r="D550" t="n">
        <v>2</v>
      </c>
      <c r="E550" t="n">
        <v>5</v>
      </c>
      <c r="F550" t="n">
        <v>50</v>
      </c>
      <c r="G550" t="n">
        <v>0.9</v>
      </c>
      <c r="H550" t="inlineStr">
        <is>
          <t>y</t>
        </is>
      </c>
      <c r="I550" s="87" t="n">
        <v>46212</v>
      </c>
      <c r="J550" s="87" t="n">
        <v>46215</v>
      </c>
      <c r="K550" s="87" t="n">
        <v>46215</v>
      </c>
      <c r="L550" t="n">
        <v>45</v>
      </c>
      <c r="M550" t="inlineStr">
        <is>
          <t>High Performance: W01 Assignment: Software Methodology Analysis</t>
        </is>
      </c>
      <c r="N550" t="inlineStr">
        <is>
          <t xml:space="preserve">Provide Positive feedback for High Performance on W01 Assignment: Software Methodology Analysis. </t>
        </is>
      </c>
    </row>
    <row r="551">
      <c r="A551" t="inlineStr">
        <is>
          <t>CSE370</t>
        </is>
      </c>
      <c r="B551" t="inlineStr">
        <is>
          <t>High Performance</t>
        </is>
      </c>
      <c r="C551" t="inlineStr">
        <is>
          <t>W02 Assignment: Case Study Analysis</t>
        </is>
      </c>
      <c r="D551" t="n">
        <v>3</v>
      </c>
      <c r="E551" t="n">
        <v>5</v>
      </c>
      <c r="F551" t="n">
        <v>100</v>
      </c>
      <c r="G551" t="n">
        <v>0.9</v>
      </c>
      <c r="H551" t="inlineStr">
        <is>
          <t>y</t>
        </is>
      </c>
      <c r="I551" s="87" t="n">
        <v>46219</v>
      </c>
      <c r="J551" s="87" t="n">
        <v>46222</v>
      </c>
      <c r="K551" s="87" t="n">
        <v>46222</v>
      </c>
      <c r="L551" t="n">
        <v>90</v>
      </c>
      <c r="M551" t="inlineStr">
        <is>
          <t>High Performance: W02 Assignment: Case Study Analysis</t>
        </is>
      </c>
      <c r="N551" t="inlineStr">
        <is>
          <t>Provide Positive feedback for High Performance: W02 Assignment: Software Methodology Analysis</t>
        </is>
      </c>
    </row>
    <row r="552">
      <c r="A552" t="inlineStr">
        <is>
          <t>CSE370</t>
        </is>
      </c>
      <c r="B552" t="inlineStr">
        <is>
          <t>High Performance</t>
        </is>
      </c>
      <c r="C552" t="inlineStr">
        <is>
          <t>W03 Assignment: Case Study Analysis</t>
        </is>
      </c>
      <c r="D552" t="n">
        <v>4</v>
      </c>
      <c r="E552" t="n">
        <v>5</v>
      </c>
      <c r="F552" t="n">
        <v>100</v>
      </c>
      <c r="G552" t="n">
        <v>0.9</v>
      </c>
      <c r="H552" t="inlineStr">
        <is>
          <t>y</t>
        </is>
      </c>
      <c r="I552" s="87" t="n">
        <v>46226</v>
      </c>
      <c r="J552" s="87" t="n">
        <v>46229</v>
      </c>
      <c r="K552" s="87" t="n">
        <v>46229</v>
      </c>
      <c r="L552" t="n">
        <v>90</v>
      </c>
      <c r="M552" t="inlineStr">
        <is>
          <t>High Performance: W03 Assignment: Case Study Analysis</t>
        </is>
      </c>
      <c r="N552" t="inlineStr">
        <is>
          <t>Provide Positive feedback for High Performance: W03 Assignment: Software Methodology Analysis</t>
        </is>
      </c>
    </row>
    <row r="553">
      <c r="A553" t="inlineStr">
        <is>
          <t>CSE370</t>
        </is>
      </c>
      <c r="B553" t="inlineStr">
        <is>
          <t>High Performance</t>
        </is>
      </c>
      <c r="C553" t="inlineStr">
        <is>
          <t>W04 Assignment: Case Study Analysis</t>
        </is>
      </c>
      <c r="D553" t="n">
        <v>5</v>
      </c>
      <c r="E553" t="n">
        <v>5</v>
      </c>
      <c r="F553" t="n">
        <v>100</v>
      </c>
      <c r="G553" t="n">
        <v>0.9</v>
      </c>
      <c r="H553" t="inlineStr">
        <is>
          <t>y</t>
        </is>
      </c>
      <c r="I553" s="87" t="n">
        <v>46233</v>
      </c>
      <c r="J553" s="87" t="n">
        <v>46236</v>
      </c>
      <c r="K553" s="87" t="n">
        <v>46236</v>
      </c>
      <c r="L553" t="n">
        <v>90</v>
      </c>
      <c r="M553" t="inlineStr">
        <is>
          <t>High Performance: W04 Assignment: Case Study Analysis</t>
        </is>
      </c>
      <c r="N553" t="inlineStr">
        <is>
          <t>Provide Positive feedback for High Performance: W04 Assignment: Software Methodology Analysis</t>
        </is>
      </c>
    </row>
    <row r="554">
      <c r="A554" t="inlineStr">
        <is>
          <t>CSE370</t>
        </is>
      </c>
      <c r="B554" t="inlineStr">
        <is>
          <t>High Performance</t>
        </is>
      </c>
      <c r="C554" t="inlineStr">
        <is>
          <t>W05 Assignment: Case Study Analysis</t>
        </is>
      </c>
      <c r="D554" t="n">
        <v>6</v>
      </c>
      <c r="E554" t="n">
        <v>5</v>
      </c>
      <c r="F554" t="n">
        <v>100</v>
      </c>
      <c r="G554" t="n">
        <v>0.9</v>
      </c>
      <c r="H554" t="inlineStr">
        <is>
          <t>y</t>
        </is>
      </c>
      <c r="I554" s="87" t="n">
        <v>46240</v>
      </c>
      <c r="J554" s="87" t="n">
        <v>46243</v>
      </c>
      <c r="K554" s="87" t="n">
        <v>46243</v>
      </c>
      <c r="L554" t="n">
        <v>90</v>
      </c>
      <c r="M554" t="inlineStr">
        <is>
          <t>High Performance: W05 Assignment: Case Study Analysis</t>
        </is>
      </c>
      <c r="N554" t="inlineStr">
        <is>
          <t>Provide Positive feedback for High Performance: W05 Assignment: Software Methodology Analysis</t>
        </is>
      </c>
    </row>
    <row r="555">
      <c r="A555" t="inlineStr">
        <is>
          <t>CSE370</t>
        </is>
      </c>
      <c r="B555" t="inlineStr">
        <is>
          <t>High Performance</t>
        </is>
      </c>
      <c r="C555" t="inlineStr">
        <is>
          <t>W06 Assignment: Case Study Analysis</t>
        </is>
      </c>
      <c r="D555" t="n">
        <v>7</v>
      </c>
      <c r="E555" t="n">
        <v>3</v>
      </c>
      <c r="F555" t="n">
        <v>100</v>
      </c>
      <c r="G555" t="n">
        <v>0.9</v>
      </c>
      <c r="H555" t="inlineStr">
        <is>
          <t>y</t>
        </is>
      </c>
      <c r="I555" s="87" t="n">
        <v>46245</v>
      </c>
      <c r="J555" s="87" t="n">
        <v>46248</v>
      </c>
      <c r="K555" s="87" t="n">
        <v>46250</v>
      </c>
      <c r="L555" t="n">
        <v>90</v>
      </c>
      <c r="M555" t="inlineStr">
        <is>
          <t>High Performance: W06 Assignment: Case Study Analysis</t>
        </is>
      </c>
      <c r="N555" t="inlineStr">
        <is>
          <t>Provide Positive feedback for High Performance: W06 Assignment: Software Methodology Analysis</t>
        </is>
      </c>
    </row>
    <row r="556">
      <c r="A556" t="inlineStr">
        <is>
          <t>CSE370</t>
        </is>
      </c>
      <c r="B556" t="inlineStr">
        <is>
          <t>Low Performance</t>
        </is>
      </c>
      <c r="C556" t="inlineStr">
        <is>
          <t>W01 Assignment: Software Methodology Analysis</t>
        </is>
      </c>
      <c r="D556" t="n">
        <v>2</v>
      </c>
      <c r="E556" t="n">
        <v>5</v>
      </c>
      <c r="F556" t="n">
        <v>50</v>
      </c>
      <c r="G556" t="n">
        <v>0.7</v>
      </c>
      <c r="H556" t="inlineStr">
        <is>
          <t>y</t>
        </is>
      </c>
      <c r="I556" s="87" t="n">
        <v>46212</v>
      </c>
      <c r="J556" s="87" t="n">
        <v>46215</v>
      </c>
      <c r="K556" s="87" t="n">
        <v>46215</v>
      </c>
      <c r="L556" t="n">
        <v>35</v>
      </c>
      <c r="M556" t="inlineStr">
        <is>
          <t>Low Performance: W01 Assignment: Software Methodology Analysis</t>
        </is>
      </c>
      <c r="N556" t="inlineStr">
        <is>
          <t>At-Risk. Student performed below 80% on W01 Assignment: Software Methodology Analysis. Check in to see how you can help.</t>
        </is>
      </c>
    </row>
    <row r="557">
      <c r="A557" t="inlineStr">
        <is>
          <t>CSE370</t>
        </is>
      </c>
      <c r="B557" t="inlineStr">
        <is>
          <t>Low Performance</t>
        </is>
      </c>
      <c r="C557" t="inlineStr">
        <is>
          <t>W02 Assignment: Case Study Analysis</t>
        </is>
      </c>
      <c r="D557" t="n">
        <v>3</v>
      </c>
      <c r="E557" t="n">
        <v>5</v>
      </c>
      <c r="F557" t="n">
        <v>100</v>
      </c>
      <c r="G557" t="n">
        <v>0.7</v>
      </c>
      <c r="H557" t="inlineStr">
        <is>
          <t>y</t>
        </is>
      </c>
      <c r="I557" s="87" t="n">
        <v>46219</v>
      </c>
      <c r="J557" s="87" t="n">
        <v>46222</v>
      </c>
      <c r="K557" s="87" t="n">
        <v>46222</v>
      </c>
      <c r="L557" t="n">
        <v>70</v>
      </c>
      <c r="M557" t="inlineStr">
        <is>
          <t>Low Performance: W02 Assignment: Case Study Analysis</t>
        </is>
      </c>
      <c r="N557" t="inlineStr">
        <is>
          <t>At-Risk. Student performed below 80% on W02 Assignment: Case Study Analysis. Check in to see how you can help.</t>
        </is>
      </c>
    </row>
    <row r="558">
      <c r="A558" t="inlineStr">
        <is>
          <t>CSE370</t>
        </is>
      </c>
      <c r="B558" t="inlineStr">
        <is>
          <t>Low Performance</t>
        </is>
      </c>
      <c r="C558" t="inlineStr">
        <is>
          <t>W03 Assignment: Case Study Analysis</t>
        </is>
      </c>
      <c r="D558" t="n">
        <v>4</v>
      </c>
      <c r="E558" t="n">
        <v>5</v>
      </c>
      <c r="F558" t="n">
        <v>100</v>
      </c>
      <c r="G558" t="n">
        <v>0.7</v>
      </c>
      <c r="H558" t="inlineStr">
        <is>
          <t>y</t>
        </is>
      </c>
      <c r="I558" s="87" t="n">
        <v>46226</v>
      </c>
      <c r="J558" s="87" t="n">
        <v>46229</v>
      </c>
      <c r="K558" s="87" t="n">
        <v>46229</v>
      </c>
      <c r="L558" t="n">
        <v>70</v>
      </c>
      <c r="M558" t="inlineStr">
        <is>
          <t>Low Performance: W03 Assignment: Case Study Analysis</t>
        </is>
      </c>
      <c r="N558" t="inlineStr">
        <is>
          <t>At-Risk. Student performed below 80% on W03 Assignment: Case Study Analysis. Check in to see how you can help.</t>
        </is>
      </c>
    </row>
    <row r="559">
      <c r="A559" t="inlineStr">
        <is>
          <t>CSE370</t>
        </is>
      </c>
      <c r="B559" t="inlineStr">
        <is>
          <t>Low Performance</t>
        </is>
      </c>
      <c r="C559" t="inlineStr">
        <is>
          <t>W04 Assignment: Case Study Analysis</t>
        </is>
      </c>
      <c r="D559" t="n">
        <v>5</v>
      </c>
      <c r="E559" t="n">
        <v>5</v>
      </c>
      <c r="F559" t="n">
        <v>100</v>
      </c>
      <c r="G559" t="n">
        <v>0.7</v>
      </c>
      <c r="H559" t="inlineStr">
        <is>
          <t>y</t>
        </is>
      </c>
      <c r="I559" s="87" t="n">
        <v>46233</v>
      </c>
      <c r="J559" s="87" t="n">
        <v>46236</v>
      </c>
      <c r="K559" s="87" t="n">
        <v>46236</v>
      </c>
      <c r="L559" t="n">
        <v>70</v>
      </c>
      <c r="M559" t="inlineStr">
        <is>
          <t>Low Performance: W04 Assignment: Case Study Analysis</t>
        </is>
      </c>
      <c r="N559" t="inlineStr">
        <is>
          <t>At-Risk. Student performed below 80% on W04 Assignment: Case Study Analysis. Check in to see how you can help.</t>
        </is>
      </c>
    </row>
    <row r="560">
      <c r="A560" t="inlineStr">
        <is>
          <t>CSE370</t>
        </is>
      </c>
      <c r="B560" t="inlineStr">
        <is>
          <t>Low Performance</t>
        </is>
      </c>
      <c r="C560" t="inlineStr">
        <is>
          <t>W05 Assignment: Case Study Analysis</t>
        </is>
      </c>
      <c r="D560" t="n">
        <v>6</v>
      </c>
      <c r="E560" t="n">
        <v>5</v>
      </c>
      <c r="F560" t="n">
        <v>100</v>
      </c>
      <c r="G560" t="n">
        <v>0.7</v>
      </c>
      <c r="H560" t="inlineStr">
        <is>
          <t>y</t>
        </is>
      </c>
      <c r="I560" s="87" t="n">
        <v>46240</v>
      </c>
      <c r="J560" s="87" t="n">
        <v>46243</v>
      </c>
      <c r="K560" s="87" t="n">
        <v>46243</v>
      </c>
      <c r="L560" t="n">
        <v>70</v>
      </c>
      <c r="M560" t="inlineStr">
        <is>
          <t>Low Performance: W05 Assignment: Case Study Analysis</t>
        </is>
      </c>
      <c r="N560" t="inlineStr">
        <is>
          <t>At-Risk. Student performed below 80% on W05 Assignment: Case Study Analysis. Check in to see how you can help.</t>
        </is>
      </c>
    </row>
    <row r="561">
      <c r="A561" t="inlineStr">
        <is>
          <t>CSE370</t>
        </is>
      </c>
      <c r="B561" t="inlineStr">
        <is>
          <t>Low Performance</t>
        </is>
      </c>
      <c r="C561" t="inlineStr">
        <is>
          <t>W06 Assignment: Case Study Analysis</t>
        </is>
      </c>
      <c r="D561" t="n">
        <v>7</v>
      </c>
      <c r="E561" t="n">
        <v>3</v>
      </c>
      <c r="F561" t="n">
        <v>100</v>
      </c>
      <c r="G561" t="n">
        <v>0.7</v>
      </c>
      <c r="H561" t="inlineStr">
        <is>
          <t>y</t>
        </is>
      </c>
      <c r="I561" s="87" t="n">
        <v>46245</v>
      </c>
      <c r="J561" s="87" t="n">
        <v>46248</v>
      </c>
      <c r="K561" s="87" t="n">
        <v>46250</v>
      </c>
      <c r="L561" t="n">
        <v>70</v>
      </c>
      <c r="M561" t="inlineStr">
        <is>
          <t>Low Performance: W06 Assignment: Case Study Analysis</t>
        </is>
      </c>
      <c r="N561" t="inlineStr">
        <is>
          <t>At-Risk. Student performed below 80% on W06 Assignment: Case Study Analysis. Check in to see how you can help.</t>
        </is>
      </c>
    </row>
    <row r="562">
      <c r="A562" t="inlineStr">
        <is>
          <t>CSE370</t>
        </is>
      </c>
      <c r="B562" t="inlineStr">
        <is>
          <t>Missing Assignment</t>
        </is>
      </c>
      <c r="C562" t="inlineStr">
        <is>
          <t>W01 Assignment: Software Methodology Analysis</t>
        </is>
      </c>
      <c r="D562" t="n">
        <v>2</v>
      </c>
      <c r="E562" t="n">
        <v>2</v>
      </c>
      <c r="F562" t="n">
        <v>50</v>
      </c>
      <c r="H562" t="inlineStr">
        <is>
          <t>y</t>
        </is>
      </c>
      <c r="I562" s="87" t="n">
        <v>46209</v>
      </c>
      <c r="J562" s="87" t="n">
        <v>46212</v>
      </c>
      <c r="K562" s="87" t="n">
        <v>46215</v>
      </c>
      <c r="L562" t="n">
        <v>0</v>
      </c>
      <c r="M562" t="inlineStr">
        <is>
          <t>Missing Assignment: W01 Assignment: Software Methodology Analysis</t>
        </is>
      </c>
      <c r="N562" t="inlineStr">
        <is>
          <t>Check in with student missing the W01 Assignment: Software Methodology Analysis. Encourage submission.</t>
        </is>
      </c>
    </row>
    <row r="563">
      <c r="A563" t="inlineStr">
        <is>
          <t>CSE370</t>
        </is>
      </c>
      <c r="B563" t="inlineStr">
        <is>
          <t>Missing Assignment</t>
        </is>
      </c>
      <c r="C563" t="inlineStr">
        <is>
          <t>W02 Assignment: Case Study Analysis</t>
        </is>
      </c>
      <c r="D563" t="n">
        <v>3</v>
      </c>
      <c r="E563" t="n">
        <v>2</v>
      </c>
      <c r="F563" t="n">
        <v>100</v>
      </c>
      <c r="H563" t="inlineStr">
        <is>
          <t>y</t>
        </is>
      </c>
      <c r="I563" s="87" t="n">
        <v>46216</v>
      </c>
      <c r="J563" s="87" t="n">
        <v>46219</v>
      </c>
      <c r="K563" s="87" t="n">
        <v>46222</v>
      </c>
      <c r="L563" t="n">
        <v>0</v>
      </c>
      <c r="M563" t="inlineStr">
        <is>
          <t>Missing Assignment: W02 Assignment: Case Study Analysis</t>
        </is>
      </c>
      <c r="N563" t="inlineStr">
        <is>
          <t>Check in with student missing the W02 Assignment: Case Study Analysis. Encourage submission.</t>
        </is>
      </c>
    </row>
    <row r="564">
      <c r="A564" t="inlineStr">
        <is>
          <t>CSE370</t>
        </is>
      </c>
      <c r="B564" t="inlineStr">
        <is>
          <t>Missing Assignment</t>
        </is>
      </c>
      <c r="C564" t="inlineStr">
        <is>
          <t>W03 Assignment: Case Study Analysis</t>
        </is>
      </c>
      <c r="D564" t="n">
        <v>4</v>
      </c>
      <c r="E564" t="n">
        <v>2</v>
      </c>
      <c r="F564" t="n">
        <v>100</v>
      </c>
      <c r="H564" t="inlineStr">
        <is>
          <t>y</t>
        </is>
      </c>
      <c r="I564" s="87" t="n">
        <v>46223</v>
      </c>
      <c r="J564" s="87" t="n">
        <v>46226</v>
      </c>
      <c r="K564" s="87" t="n">
        <v>46229</v>
      </c>
      <c r="L564" t="n">
        <v>0</v>
      </c>
      <c r="M564" t="inlineStr">
        <is>
          <t>Missing Assignment: W03 Assignment: Case Study Analysis</t>
        </is>
      </c>
      <c r="N564" t="inlineStr">
        <is>
          <t>Check in with student missing  the W03 Assignment: Case Study Analysis. Encourage submission.</t>
        </is>
      </c>
    </row>
    <row r="565">
      <c r="A565" t="inlineStr">
        <is>
          <t>CSE370</t>
        </is>
      </c>
      <c r="B565" t="inlineStr">
        <is>
          <t>Missing Assignment</t>
        </is>
      </c>
      <c r="C565" t="inlineStr">
        <is>
          <t>W04 Assignment: Case Study Analysis</t>
        </is>
      </c>
      <c r="D565" t="n">
        <v>5</v>
      </c>
      <c r="E565" t="n">
        <v>2</v>
      </c>
      <c r="F565" t="n">
        <v>100</v>
      </c>
      <c r="H565" t="inlineStr">
        <is>
          <t>y</t>
        </is>
      </c>
      <c r="I565" s="87" t="n">
        <v>46230</v>
      </c>
      <c r="J565" s="87" t="n">
        <v>46233</v>
      </c>
      <c r="K565" s="87" t="n">
        <v>46236</v>
      </c>
      <c r="L565" t="n">
        <v>0</v>
      </c>
      <c r="M565" t="inlineStr">
        <is>
          <t>Missing Assignment: W04 Assignment: Case Study Analysis</t>
        </is>
      </c>
      <c r="N565" t="inlineStr">
        <is>
          <t>Check in with student missing the W04 Assignment: Case Study Analysis. Encourage submission.</t>
        </is>
      </c>
    </row>
    <row r="566">
      <c r="A566" t="inlineStr">
        <is>
          <t>CSE370</t>
        </is>
      </c>
      <c r="B566" t="inlineStr">
        <is>
          <t>Missing Assignment</t>
        </is>
      </c>
      <c r="C566" t="inlineStr">
        <is>
          <t>W05 Assignment: Case Study Analysis</t>
        </is>
      </c>
      <c r="D566" t="n">
        <v>6</v>
      </c>
      <c r="E566" t="n">
        <v>2</v>
      </c>
      <c r="F566" t="n">
        <v>100</v>
      </c>
      <c r="H566" t="inlineStr">
        <is>
          <t>y</t>
        </is>
      </c>
      <c r="I566" s="87" t="n">
        <v>46237</v>
      </c>
      <c r="J566" s="87" t="n">
        <v>46240</v>
      </c>
      <c r="K566" s="87" t="n">
        <v>46243</v>
      </c>
      <c r="L566" t="n">
        <v>0</v>
      </c>
      <c r="M566" t="inlineStr">
        <is>
          <t>Missing Assignment: W05 Assignment: Case Study Analysis</t>
        </is>
      </c>
      <c r="N566" t="inlineStr">
        <is>
          <t>Check in with student missing the W05 Assignment: Case Study Analysis. Encourage submission.</t>
        </is>
      </c>
    </row>
    <row r="567">
      <c r="A567" t="inlineStr">
        <is>
          <t>CSE370</t>
        </is>
      </c>
      <c r="B567" t="inlineStr">
        <is>
          <t>Missing Assignment</t>
        </is>
      </c>
      <c r="C567" t="inlineStr">
        <is>
          <t>W06 Assignment: Case Study Analysis</t>
        </is>
      </c>
      <c r="D567" t="n">
        <v>7</v>
      </c>
      <c r="E567" t="n">
        <v>2</v>
      </c>
      <c r="F567" t="n">
        <v>100</v>
      </c>
      <c r="H567" t="inlineStr">
        <is>
          <t>y</t>
        </is>
      </c>
      <c r="I567" s="87" t="n">
        <v>46244</v>
      </c>
      <c r="J567" s="87" t="n">
        <v>46247</v>
      </c>
      <c r="K567" s="87" t="n">
        <v>46250</v>
      </c>
      <c r="L567" t="n">
        <v>0</v>
      </c>
      <c r="M567" t="inlineStr">
        <is>
          <t>Missing Assignment: W06 Assignment: Case Study Analysis</t>
        </is>
      </c>
      <c r="N567" t="inlineStr">
        <is>
          <t>Check in with student missing the W06 Assignment: Case Study Analysis. Encourage submission.</t>
        </is>
      </c>
    </row>
    <row r="568">
      <c r="I568" s="87" t="n">
        <v>46193</v>
      </c>
      <c r="J568" s="87" t="n">
        <v>46196</v>
      </c>
      <c r="K568" s="87" t="n">
        <v>46194</v>
      </c>
      <c r="L568" t="n">
        <v>0</v>
      </c>
    </row>
    <row r="569">
      <c r="I569" s="87" t="n">
        <v>46193</v>
      </c>
      <c r="J569" s="87" t="n">
        <v>46196</v>
      </c>
      <c r="K569" s="87" t="n">
        <v>46194</v>
      </c>
      <c r="L569" t="n">
        <v>0</v>
      </c>
    </row>
    <row r="570">
      <c r="I570" s="87" t="n">
        <v>46193</v>
      </c>
      <c r="J570" s="87" t="n">
        <v>46196</v>
      </c>
      <c r="K570" s="87" t="n">
        <v>46194</v>
      </c>
      <c r="L570" t="n">
        <v>0</v>
      </c>
    </row>
    <row r="571">
      <c r="I571" s="87" t="n">
        <v>46193</v>
      </c>
      <c r="J571" s="87" t="n">
        <v>46196</v>
      </c>
      <c r="K571" s="87" t="n">
        <v>46194</v>
      </c>
      <c r="L571" t="n">
        <v>0</v>
      </c>
    </row>
    <row r="572">
      <c r="I572" s="87" t="n">
        <v>46193</v>
      </c>
      <c r="J572" s="87" t="n">
        <v>46196</v>
      </c>
      <c r="K572" s="87" t="n">
        <v>46194</v>
      </c>
      <c r="L572" t="n">
        <v>0</v>
      </c>
    </row>
    <row r="573">
      <c r="I573" s="87" t="n">
        <v>46193</v>
      </c>
      <c r="J573" s="87" t="n">
        <v>46196</v>
      </c>
      <c r="K573" s="87" t="n">
        <v>46194</v>
      </c>
      <c r="L573" t="n">
        <v>0</v>
      </c>
    </row>
    <row r="574">
      <c r="I574" s="87" t="n">
        <v>46193</v>
      </c>
      <c r="J574" s="87" t="n">
        <v>46196</v>
      </c>
      <c r="K574" s="87" t="n">
        <v>46194</v>
      </c>
      <c r="L574" t="n">
        <v>0</v>
      </c>
    </row>
    <row r="575">
      <c r="I575" s="87" t="n">
        <v>46193</v>
      </c>
      <c r="J575" s="87" t="n">
        <v>46196</v>
      </c>
      <c r="K575" s="87" t="n">
        <v>46194</v>
      </c>
      <c r="L575" t="n">
        <v>0</v>
      </c>
    </row>
    <row r="576">
      <c r="I576" s="87" t="n">
        <v>46193</v>
      </c>
      <c r="J576" s="87" t="n">
        <v>46196</v>
      </c>
      <c r="K576" s="87" t="n">
        <v>46194</v>
      </c>
      <c r="L576" t="n">
        <v>0</v>
      </c>
    </row>
    <row r="577">
      <c r="I577" s="87" t="n">
        <v>46193</v>
      </c>
      <c r="J577" s="87" t="n">
        <v>46196</v>
      </c>
      <c r="K577" s="87" t="n">
        <v>46194</v>
      </c>
      <c r="L577" t="n">
        <v>0</v>
      </c>
    </row>
    <row r="578">
      <c r="I578" s="87" t="n">
        <v>46193</v>
      </c>
      <c r="J578" s="87" t="n">
        <v>46196</v>
      </c>
      <c r="K578" s="87" t="n">
        <v>46194</v>
      </c>
      <c r="L578" t="n">
        <v>0</v>
      </c>
    </row>
    <row r="579">
      <c r="I579" s="87" t="n">
        <v>46193</v>
      </c>
      <c r="J579" s="87" t="n">
        <v>46196</v>
      </c>
      <c r="K579" s="87" t="n">
        <v>46194</v>
      </c>
      <c r="L579" t="n">
        <v>0</v>
      </c>
    </row>
    <row r="580">
      <c r="I580" s="87" t="n">
        <v>46193</v>
      </c>
      <c r="J580" s="87" t="n">
        <v>46196</v>
      </c>
      <c r="K580" s="87" t="n">
        <v>46194</v>
      </c>
      <c r="L580" t="n">
        <v>0</v>
      </c>
    </row>
    <row r="581">
      <c r="I581" s="87" t="n">
        <v>46193</v>
      </c>
      <c r="J581" s="87" t="n">
        <v>46196</v>
      </c>
      <c r="K581" s="87" t="n">
        <v>46194</v>
      </c>
      <c r="L581" t="n">
        <v>0</v>
      </c>
    </row>
    <row r="582">
      <c r="I582" s="87" t="n">
        <v>46193</v>
      </c>
      <c r="J582" s="87" t="n">
        <v>46196</v>
      </c>
      <c r="K582" s="87" t="n">
        <v>46194</v>
      </c>
      <c r="L582" t="n">
        <v>0</v>
      </c>
    </row>
    <row r="583">
      <c r="I583" s="87" t="n">
        <v>46193</v>
      </c>
      <c r="J583" s="87" t="n">
        <v>46196</v>
      </c>
      <c r="K583" s="87" t="n">
        <v>46194</v>
      </c>
      <c r="L583" t="n">
        <v>0</v>
      </c>
    </row>
    <row r="584">
      <c r="I584" s="87" t="n">
        <v>46193</v>
      </c>
      <c r="J584" s="87" t="n">
        <v>46196</v>
      </c>
      <c r="K584" s="87" t="n">
        <v>46194</v>
      </c>
      <c r="L584" t="n">
        <v>0</v>
      </c>
    </row>
    <row r="585">
      <c r="I585" s="87" t="n">
        <v>46193</v>
      </c>
      <c r="J585" s="87" t="n">
        <v>46196</v>
      </c>
      <c r="K585" s="87" t="n">
        <v>46194</v>
      </c>
      <c r="L585" t="n">
        <v>0</v>
      </c>
    </row>
    <row r="586">
      <c r="I586" s="87" t="n">
        <v>46193</v>
      </c>
      <c r="J586" s="87" t="n">
        <v>46196</v>
      </c>
      <c r="K586" s="87" t="n">
        <v>46194</v>
      </c>
      <c r="L586" t="n">
        <v>0</v>
      </c>
    </row>
    <row r="587">
      <c r="I587" s="87" t="n">
        <v>46193</v>
      </c>
      <c r="J587" s="87" t="n">
        <v>46196</v>
      </c>
      <c r="K587" s="87" t="n">
        <v>46194</v>
      </c>
      <c r="L587" t="n">
        <v>0</v>
      </c>
    </row>
    <row r="588">
      <c r="I588" s="87" t="n">
        <v>46193</v>
      </c>
      <c r="J588" s="87" t="n">
        <v>46196</v>
      </c>
      <c r="K588" s="87" t="n">
        <v>46194</v>
      </c>
      <c r="L588" t="n">
        <v>0</v>
      </c>
    </row>
    <row r="589">
      <c r="I589" s="87" t="n">
        <v>46193</v>
      </c>
      <c r="J589" s="87" t="n">
        <v>46196</v>
      </c>
      <c r="K589" s="87" t="n">
        <v>46194</v>
      </c>
      <c r="L589" t="n">
        <v>0</v>
      </c>
    </row>
    <row r="590">
      <c r="I590" s="87" t="n">
        <v>46193</v>
      </c>
      <c r="J590" s="87" t="n">
        <v>46196</v>
      </c>
      <c r="K590" s="87" t="n">
        <v>46194</v>
      </c>
      <c r="L590" t="n">
        <v>0</v>
      </c>
    </row>
    <row r="591">
      <c r="I591" s="87" t="n">
        <v>46193</v>
      </c>
      <c r="J591" s="87" t="n">
        <v>46196</v>
      </c>
      <c r="K591" s="87" t="n">
        <v>46194</v>
      </c>
      <c r="L591" t="n">
        <v>0</v>
      </c>
    </row>
    <row r="592">
      <c r="I592" s="87" t="n">
        <v>46193</v>
      </c>
      <c r="J592" s="87" t="n">
        <v>46196</v>
      </c>
      <c r="K592" s="87" t="n">
        <v>46194</v>
      </c>
      <c r="L592" t="n">
        <v>0</v>
      </c>
    </row>
    <row r="593">
      <c r="I593" s="87" t="n">
        <v>46193</v>
      </c>
      <c r="J593" s="87" t="n">
        <v>46196</v>
      </c>
      <c r="K593" s="87" t="n">
        <v>46194</v>
      </c>
      <c r="L593" t="n">
        <v>0</v>
      </c>
    </row>
    <row r="594">
      <c r="I594" s="87" t="n">
        <v>46193</v>
      </c>
      <c r="J594" s="87" t="n">
        <v>46196</v>
      </c>
      <c r="K594" s="87" t="n">
        <v>46194</v>
      </c>
      <c r="L594" t="n">
        <v>0</v>
      </c>
    </row>
    <row r="595">
      <c r="I595" s="87" t="n">
        <v>46193</v>
      </c>
      <c r="J595" s="87" t="n">
        <v>46196</v>
      </c>
      <c r="K595" s="87" t="n">
        <v>46194</v>
      </c>
      <c r="L595" t="n">
        <v>0</v>
      </c>
    </row>
    <row r="596">
      <c r="I596" s="87" t="n">
        <v>46193</v>
      </c>
      <c r="J596" s="87" t="n">
        <v>46196</v>
      </c>
      <c r="K596" s="87" t="n">
        <v>46194</v>
      </c>
      <c r="L596" t="n">
        <v>0</v>
      </c>
    </row>
    <row r="597">
      <c r="I597" s="87" t="n">
        <v>46193</v>
      </c>
      <c r="J597" s="87" t="n">
        <v>46196</v>
      </c>
      <c r="K597" s="87" t="n">
        <v>46194</v>
      </c>
      <c r="L597" t="n">
        <v>0</v>
      </c>
    </row>
    <row r="598">
      <c r="I598" s="87" t="n">
        <v>46193</v>
      </c>
      <c r="J598" s="87" t="n">
        <v>46196</v>
      </c>
      <c r="K598" s="87" t="n">
        <v>46194</v>
      </c>
      <c r="L598" t="n">
        <v>0</v>
      </c>
    </row>
    <row r="599">
      <c r="I599" s="87" t="n">
        <v>46193</v>
      </c>
      <c r="J599" s="87" t="n">
        <v>46196</v>
      </c>
      <c r="K599" s="87" t="n">
        <v>46194</v>
      </c>
      <c r="L599" t="n">
        <v>0</v>
      </c>
    </row>
    <row r="600">
      <c r="I600" s="87" t="n">
        <v>46193</v>
      </c>
      <c r="J600" s="87" t="n">
        <v>46196</v>
      </c>
      <c r="K600" s="87" t="n">
        <v>46194</v>
      </c>
      <c r="L600" t="n">
        <v>0</v>
      </c>
    </row>
    <row r="601">
      <c r="I601" s="87" t="n">
        <v>46193</v>
      </c>
      <c r="J601" s="87" t="n">
        <v>46196</v>
      </c>
      <c r="K601" s="87" t="n">
        <v>46194</v>
      </c>
      <c r="L601" t="n">
        <v>0</v>
      </c>
    </row>
    <row r="602">
      <c r="I602" s="87" t="n">
        <v>46193</v>
      </c>
      <c r="J602" s="87" t="n">
        <v>46196</v>
      </c>
      <c r="K602" s="87" t="n">
        <v>46194</v>
      </c>
      <c r="L602" t="n">
        <v>0</v>
      </c>
    </row>
    <row r="603">
      <c r="I603" s="87" t="n">
        <v>46193</v>
      </c>
      <c r="J603" s="87" t="n">
        <v>46196</v>
      </c>
      <c r="K603" s="87" t="n">
        <v>46194</v>
      </c>
      <c r="L603" t="n">
        <v>0</v>
      </c>
    </row>
    <row r="604">
      <c r="I604" s="87" t="n">
        <v>46193</v>
      </c>
      <c r="J604" s="87" t="n">
        <v>46196</v>
      </c>
      <c r="K604" s="87" t="n">
        <v>46194</v>
      </c>
      <c r="L604" t="n">
        <v>0</v>
      </c>
    </row>
    <row r="605">
      <c r="I605" s="87" t="n">
        <v>46193</v>
      </c>
      <c r="J605" s="87" t="n">
        <v>46196</v>
      </c>
      <c r="K605" s="87" t="n">
        <v>46194</v>
      </c>
      <c r="L605" t="n">
        <v>0</v>
      </c>
    </row>
    <row r="606">
      <c r="I606" s="87" t="n">
        <v>46193</v>
      </c>
      <c r="J606" s="87" t="n">
        <v>46196</v>
      </c>
      <c r="K606" s="87" t="n">
        <v>46194</v>
      </c>
      <c r="L606" t="n">
        <v>0</v>
      </c>
    </row>
    <row r="607">
      <c r="I607" s="87" t="n">
        <v>46193</v>
      </c>
      <c r="J607" s="87" t="n">
        <v>46196</v>
      </c>
      <c r="K607" s="87" t="n">
        <v>46194</v>
      </c>
      <c r="L607" t="n">
        <v>0</v>
      </c>
    </row>
    <row r="608">
      <c r="I608" s="87" t="n">
        <v>46193</v>
      </c>
      <c r="J608" s="87" t="n">
        <v>46196</v>
      </c>
      <c r="K608" s="87" t="n">
        <v>46194</v>
      </c>
      <c r="L608" t="n">
        <v>0</v>
      </c>
    </row>
    <row r="609">
      <c r="I609" s="87" t="n">
        <v>46193</v>
      </c>
      <c r="J609" s="87" t="n">
        <v>46196</v>
      </c>
      <c r="K609" s="87" t="n">
        <v>46194</v>
      </c>
      <c r="L609" t="n">
        <v>0</v>
      </c>
    </row>
    <row r="610">
      <c r="I610" s="87" t="n">
        <v>46193</v>
      </c>
      <c r="J610" s="87" t="n">
        <v>46196</v>
      </c>
      <c r="K610" s="87" t="n">
        <v>46194</v>
      </c>
      <c r="L610" t="n">
        <v>0</v>
      </c>
    </row>
    <row r="611">
      <c r="I611" s="87" t="n">
        <v>46193</v>
      </c>
      <c r="J611" s="87" t="n">
        <v>46196</v>
      </c>
      <c r="K611" s="87" t="n">
        <v>46194</v>
      </c>
      <c r="L611" t="n">
        <v>0</v>
      </c>
    </row>
    <row r="612">
      <c r="I612" s="87" t="n">
        <v>46193</v>
      </c>
      <c r="J612" s="87" t="n">
        <v>46196</v>
      </c>
      <c r="K612" s="87" t="n">
        <v>46194</v>
      </c>
      <c r="L612" t="n">
        <v>0</v>
      </c>
    </row>
    <row r="613">
      <c r="I613" s="87" t="n">
        <v>46193</v>
      </c>
      <c r="J613" s="87" t="n">
        <v>46196</v>
      </c>
      <c r="K613" s="87" t="n">
        <v>46194</v>
      </c>
      <c r="L613" t="n">
        <v>0</v>
      </c>
    </row>
    <row r="614">
      <c r="I614" s="87" t="n">
        <v>46193</v>
      </c>
      <c r="J614" s="87" t="n">
        <v>46196</v>
      </c>
      <c r="K614" s="87" t="n">
        <v>46194</v>
      </c>
      <c r="L614" t="n">
        <v>0</v>
      </c>
    </row>
    <row r="615">
      <c r="I615" s="87" t="n">
        <v>46193</v>
      </c>
      <c r="J615" s="87" t="n">
        <v>46196</v>
      </c>
      <c r="K615" s="87" t="n">
        <v>46194</v>
      </c>
      <c r="L615" t="n">
        <v>0</v>
      </c>
    </row>
    <row r="616">
      <c r="I616" s="87" t="n">
        <v>46193</v>
      </c>
      <c r="J616" s="87" t="n">
        <v>46196</v>
      </c>
      <c r="K616" s="87" t="n">
        <v>46194</v>
      </c>
      <c r="L616" t="n">
        <v>0</v>
      </c>
    </row>
    <row r="617">
      <c r="I617" s="87" t="n">
        <v>46193</v>
      </c>
      <c r="J617" s="87" t="n">
        <v>46196</v>
      </c>
      <c r="K617" s="87" t="n">
        <v>46194</v>
      </c>
      <c r="L617" t="n">
        <v>0</v>
      </c>
    </row>
    <row r="618">
      <c r="I618" s="87" t="n">
        <v>46193</v>
      </c>
      <c r="J618" s="87" t="n">
        <v>46196</v>
      </c>
      <c r="K618" s="87" t="n">
        <v>46194</v>
      </c>
      <c r="L618" t="n">
        <v>0</v>
      </c>
    </row>
    <row r="619">
      <c r="I619" s="87" t="n">
        <v>46193</v>
      </c>
      <c r="J619" s="87" t="n">
        <v>46196</v>
      </c>
      <c r="K619" s="87" t="n">
        <v>46194</v>
      </c>
      <c r="L619" t="n">
        <v>0</v>
      </c>
    </row>
    <row r="620">
      <c r="I620" s="87" t="n">
        <v>46193</v>
      </c>
      <c r="J620" s="87" t="n">
        <v>46196</v>
      </c>
      <c r="K620" s="87" t="n">
        <v>46194</v>
      </c>
      <c r="L620" t="n">
        <v>0</v>
      </c>
    </row>
    <row r="621">
      <c r="I621" s="87" t="n">
        <v>46193</v>
      </c>
      <c r="J621" s="87" t="n">
        <v>46196</v>
      </c>
      <c r="K621" s="87" t="n">
        <v>46194</v>
      </c>
      <c r="L621" t="n">
        <v>0</v>
      </c>
    </row>
    <row r="622">
      <c r="I622" s="87" t="n">
        <v>46193</v>
      </c>
      <c r="J622" s="87" t="n">
        <v>46196</v>
      </c>
      <c r="K622" s="87" t="n">
        <v>46194</v>
      </c>
      <c r="L622" t="n">
        <v>0</v>
      </c>
    </row>
    <row r="623">
      <c r="I623" s="87" t="n">
        <v>46193</v>
      </c>
      <c r="J623" s="87" t="n">
        <v>46196</v>
      </c>
      <c r="K623" s="87" t="n">
        <v>46194</v>
      </c>
      <c r="L623" t="n">
        <v>0</v>
      </c>
    </row>
    <row r="624">
      <c r="I624" s="87" t="n">
        <v>46193</v>
      </c>
      <c r="J624" s="87" t="n">
        <v>46196</v>
      </c>
      <c r="K624" s="87" t="n">
        <v>46194</v>
      </c>
      <c r="L624" t="n">
        <v>0</v>
      </c>
    </row>
    <row r="625">
      <c r="I625" s="87" t="n">
        <v>46193</v>
      </c>
      <c r="J625" s="87" t="n">
        <v>46196</v>
      </c>
      <c r="K625" s="87" t="n">
        <v>46194</v>
      </c>
      <c r="L625" t="n">
        <v>0</v>
      </c>
    </row>
    <row r="626">
      <c r="I626" s="87" t="n">
        <v>46193</v>
      </c>
      <c r="J626" s="87" t="n">
        <v>46196</v>
      </c>
      <c r="K626" s="87" t="n">
        <v>46194</v>
      </c>
      <c r="L626" t="n">
        <v>0</v>
      </c>
    </row>
    <row r="627">
      <c r="I627" s="87" t="n">
        <v>46193</v>
      </c>
      <c r="J627" s="87" t="n">
        <v>46196</v>
      </c>
      <c r="K627" s="87" t="n">
        <v>46194</v>
      </c>
      <c r="L627" t="n">
        <v>0</v>
      </c>
    </row>
    <row r="628">
      <c r="I628" s="87" t="n">
        <v>46193</v>
      </c>
      <c r="J628" s="87" t="n">
        <v>46196</v>
      </c>
      <c r="K628" s="87" t="n">
        <v>46194</v>
      </c>
      <c r="L628" t="n">
        <v>0</v>
      </c>
    </row>
    <row r="629">
      <c r="I629" s="87" t="n">
        <v>46193</v>
      </c>
      <c r="J629" s="87" t="n">
        <v>46196</v>
      </c>
      <c r="K629" s="87" t="n">
        <v>46194</v>
      </c>
      <c r="L629" t="n">
        <v>0</v>
      </c>
    </row>
    <row r="630">
      <c r="I630" s="87" t="n">
        <v>46193</v>
      </c>
      <c r="J630" s="87" t="n">
        <v>46196</v>
      </c>
      <c r="K630" s="87" t="n">
        <v>46194</v>
      </c>
      <c r="L630" t="n">
        <v>0</v>
      </c>
    </row>
    <row r="631">
      <c r="I631" s="87" t="n">
        <v>46193</v>
      </c>
      <c r="J631" s="87" t="n">
        <v>46196</v>
      </c>
      <c r="K631" s="87" t="n">
        <v>46194</v>
      </c>
      <c r="L631" t="n">
        <v>0</v>
      </c>
    </row>
    <row r="632">
      <c r="I632" s="87" t="n">
        <v>46193</v>
      </c>
      <c r="J632" s="87" t="n">
        <v>46196</v>
      </c>
      <c r="K632" s="87" t="n">
        <v>46194</v>
      </c>
      <c r="L632" t="n">
        <v>0</v>
      </c>
    </row>
    <row r="633">
      <c r="I633" s="87" t="n">
        <v>46193</v>
      </c>
      <c r="J633" s="87" t="n">
        <v>46196</v>
      </c>
      <c r="K633" s="87" t="n">
        <v>46194</v>
      </c>
      <c r="L633" t="n">
        <v>0</v>
      </c>
    </row>
    <row r="634">
      <c r="I634" s="87" t="n">
        <v>46193</v>
      </c>
      <c r="J634" s="87" t="n">
        <v>46196</v>
      </c>
      <c r="K634" s="87" t="n">
        <v>46194</v>
      </c>
      <c r="L634" t="n">
        <v>0</v>
      </c>
    </row>
    <row r="635">
      <c r="I635" s="87" t="n">
        <v>46193</v>
      </c>
      <c r="J635" s="87" t="n">
        <v>46196</v>
      </c>
      <c r="K635" s="87" t="n">
        <v>46194</v>
      </c>
      <c r="L635" t="n">
        <v>0</v>
      </c>
    </row>
    <row r="636">
      <c r="I636" s="87" t="n">
        <v>46193</v>
      </c>
      <c r="J636" s="87" t="n">
        <v>46196</v>
      </c>
      <c r="K636" s="87" t="n">
        <v>46194</v>
      </c>
      <c r="L636" t="n">
        <v>0</v>
      </c>
    </row>
    <row r="637">
      <c r="I637" s="87" t="n">
        <v>46193</v>
      </c>
      <c r="J637" s="87" t="n">
        <v>46196</v>
      </c>
      <c r="K637" s="87" t="n">
        <v>46194</v>
      </c>
      <c r="L637" t="n">
        <v>0</v>
      </c>
    </row>
    <row r="638">
      <c r="I638" s="87" t="n">
        <v>46193</v>
      </c>
      <c r="J638" s="87" t="n">
        <v>46196</v>
      </c>
      <c r="K638" s="87" t="n">
        <v>46194</v>
      </c>
      <c r="L638" t="n">
        <v>0</v>
      </c>
    </row>
    <row r="639">
      <c r="I639" s="87" t="n">
        <v>46193</v>
      </c>
      <c r="J639" s="87" t="n">
        <v>46196</v>
      </c>
      <c r="K639" s="87" t="n">
        <v>46194</v>
      </c>
      <c r="L639" t="n">
        <v>0</v>
      </c>
    </row>
    <row r="640">
      <c r="I640" s="87" t="n">
        <v>46193</v>
      </c>
      <c r="J640" s="87" t="n">
        <v>46196</v>
      </c>
      <c r="K640" s="87" t="n">
        <v>46194</v>
      </c>
      <c r="L640" t="n">
        <v>0</v>
      </c>
    </row>
    <row r="641">
      <c r="I641" s="87" t="n">
        <v>46193</v>
      </c>
      <c r="J641" s="87" t="n">
        <v>46196</v>
      </c>
      <c r="K641" s="87" t="n">
        <v>46194</v>
      </c>
      <c r="L641" t="n">
        <v>0</v>
      </c>
    </row>
    <row r="642">
      <c r="I642" s="87" t="n">
        <v>46193</v>
      </c>
      <c r="J642" s="87" t="n">
        <v>46196</v>
      </c>
      <c r="K642" s="87" t="n">
        <v>46194</v>
      </c>
      <c r="L642" t="n">
        <v>0</v>
      </c>
    </row>
    <row r="643">
      <c r="I643" s="87" t="n">
        <v>46193</v>
      </c>
      <c r="J643" s="87" t="n">
        <v>46196</v>
      </c>
      <c r="K643" s="87" t="n">
        <v>46194</v>
      </c>
      <c r="L643" t="n">
        <v>0</v>
      </c>
    </row>
    <row r="644">
      <c r="I644" s="87" t="n">
        <v>46193</v>
      </c>
      <c r="J644" s="87" t="n">
        <v>46196</v>
      </c>
      <c r="K644" s="87" t="n">
        <v>46194</v>
      </c>
      <c r="L644" t="n">
        <v>0</v>
      </c>
    </row>
    <row r="645">
      <c r="I645" s="87" t="n">
        <v>46193</v>
      </c>
      <c r="J645" s="87" t="n">
        <v>46196</v>
      </c>
      <c r="K645" s="87" t="n">
        <v>46194</v>
      </c>
      <c r="L645" t="n">
        <v>0</v>
      </c>
    </row>
    <row r="646">
      <c r="I646" s="87" t="n">
        <v>46193</v>
      </c>
      <c r="J646" s="87" t="n">
        <v>46196</v>
      </c>
      <c r="K646" s="87" t="n">
        <v>46194</v>
      </c>
      <c r="L646" t="n">
        <v>0</v>
      </c>
    </row>
    <row r="647">
      <c r="A647" t="inlineStr">
        <is>
          <t>ITM111</t>
        </is>
      </c>
      <c r="B647" t="inlineStr">
        <is>
          <t>New Student Added</t>
        </is>
      </c>
      <c r="C647" t="inlineStr">
        <is>
          <t>New Student Added</t>
        </is>
      </c>
      <c r="D647" t="n">
        <v>0</v>
      </c>
      <c r="E647" t="n">
        <v>2</v>
      </c>
      <c r="H647" t="inlineStr">
        <is>
          <t>y</t>
        </is>
      </c>
      <c r="I647" s="87" t="n">
        <v>46195</v>
      </c>
      <c r="J647" s="87" t="n">
        <v>46198</v>
      </c>
      <c r="K647" s="87" t="n">
        <v>46201</v>
      </c>
      <c r="L647" t="n">
        <v>0</v>
      </c>
      <c r="M647" t="inlineStr">
        <is>
          <t>Welcome Email</t>
        </is>
      </c>
      <c r="N647" t="inlineStr">
        <is>
          <t>Send a message to new students to welcome them to class and help them submit any assignments they missed.</t>
        </is>
      </c>
    </row>
    <row r="648">
      <c r="A648" t="inlineStr">
        <is>
          <t>ITM111</t>
        </is>
      </c>
      <c r="B648" t="inlineStr">
        <is>
          <t>Scheduled - Not Logged In</t>
        </is>
      </c>
      <c r="C648" t="inlineStr">
        <is>
          <t>Not Logged In</t>
        </is>
      </c>
      <c r="D648" t="n">
        <v>1</v>
      </c>
      <c r="E648" t="n">
        <v>4</v>
      </c>
      <c r="H648" t="inlineStr">
        <is>
          <t>y</t>
        </is>
      </c>
      <c r="I648" s="87" t="n">
        <v>46204</v>
      </c>
      <c r="J648" s="87" t="n">
        <v>46207</v>
      </c>
      <c r="K648" s="87" t="n">
        <v>46208</v>
      </c>
      <c r="L648" t="n">
        <v>0</v>
      </c>
      <c r="M648" t="inlineStr">
        <is>
          <t>Not Logged into Canvas</t>
        </is>
      </c>
      <c r="N648" t="inlineStr">
        <is>
          <t>Email (outside the IMS) students who have not logged into Canvas, reminding them that term started and encouraging them to get started.</t>
        </is>
      </c>
    </row>
    <row r="649">
      <c r="A649" t="inlineStr">
        <is>
          <t>ITM111</t>
        </is>
      </c>
      <c r="B649" t="inlineStr">
        <is>
          <t>Missing Assignment</t>
        </is>
      </c>
      <c r="C649" t="inlineStr">
        <is>
          <t>W01 Assignment: Data in a Tabular Format</t>
        </is>
      </c>
      <c r="D649" t="n">
        <v>2</v>
      </c>
      <c r="E649" t="n">
        <v>2</v>
      </c>
      <c r="F649" t="n">
        <v>40</v>
      </c>
      <c r="G649" t="inlineStr">
        <is>
          <t xml:space="preserve"> </t>
        </is>
      </c>
      <c r="H649" t="inlineStr">
        <is>
          <t>y</t>
        </is>
      </c>
      <c r="I649" s="87" t="n">
        <v>46209</v>
      </c>
      <c r="J649" s="87" t="n">
        <v>46212</v>
      </c>
      <c r="K649" s="87" t="n">
        <v>46215</v>
      </c>
      <c r="L649" t="e">
        <v>#VALUE!</v>
      </c>
      <c r="M649" t="inlineStr">
        <is>
          <t>Missing Assignment: W01 Assignment: Data in a Tabular Format</t>
        </is>
      </c>
      <c r="N649" t="inlineStr">
        <is>
          <t>Check in with student missing W01 Assignment: Data in a Tabular Format</t>
        </is>
      </c>
    </row>
    <row r="650">
      <c r="A650" t="inlineStr">
        <is>
          <t>ITM111</t>
        </is>
      </c>
      <c r="B650" t="inlineStr">
        <is>
          <t>Quiz Question</t>
        </is>
      </c>
      <c r="C650" t="inlineStr">
        <is>
          <t>W01 60-second Status Update: NeedHelp Answer: Yes</t>
        </is>
      </c>
      <c r="D650" t="n">
        <v>2</v>
      </c>
      <c r="E650" t="n">
        <v>2</v>
      </c>
      <c r="H650" t="inlineStr">
        <is>
          <t>y</t>
        </is>
      </c>
      <c r="I650" s="87" t="n">
        <v>46209</v>
      </c>
      <c r="J650" s="87" t="n">
        <v>46212</v>
      </c>
      <c r="K650" s="87" t="n">
        <v>46215</v>
      </c>
      <c r="L650" t="n">
        <v>0</v>
      </c>
      <c r="M650" t="inlineStr">
        <is>
          <t>Response to 60-second W01 Status Update. Student feels overwhelmed.</t>
        </is>
      </c>
      <c r="N650" t="inlineStr">
        <is>
          <t>Student responded feeling overwhelmed in W01 60-second Status Update. Reach out to student to see how you can help.</t>
        </is>
      </c>
    </row>
    <row r="651">
      <c r="A651" t="inlineStr">
        <is>
          <t>ITM111</t>
        </is>
      </c>
      <c r="B651" t="inlineStr">
        <is>
          <t>Grader-Issued 0</t>
        </is>
      </c>
      <c r="C651" t="inlineStr">
        <is>
          <t>W01 Assignment: Data in a Tabular Format</t>
        </is>
      </c>
      <c r="D651" t="n">
        <v>2</v>
      </c>
      <c r="E651" t="n">
        <v>4</v>
      </c>
      <c r="F651" t="n">
        <v>40</v>
      </c>
      <c r="H651" t="inlineStr">
        <is>
          <t>y</t>
        </is>
      </c>
      <c r="I651" s="87" t="n">
        <v>46211</v>
      </c>
      <c r="J651" s="87" t="n">
        <v>46214</v>
      </c>
      <c r="K651" s="87" t="n">
        <v>46215</v>
      </c>
      <c r="L651" t="n">
        <v>0</v>
      </c>
      <c r="M651" t="inlineStr">
        <is>
          <t>The student was given a Grader issued 0 on W01 Assignment: Data in a Tabular Format</t>
        </is>
      </c>
      <c r="N651" t="inlineStr">
        <is>
          <t>Grader issued 0 for: W01 Assignment: Data in a Tabular Format. Log into Canvas and see the grader comments. Work with the student to help resubmit.</t>
        </is>
      </c>
    </row>
    <row r="652">
      <c r="A652" t="inlineStr">
        <is>
          <t>ITM111</t>
        </is>
      </c>
      <c r="B652" t="inlineStr">
        <is>
          <t>High Performance</t>
        </is>
      </c>
      <c r="C652" t="inlineStr">
        <is>
          <t>W01 Assignment: Data in a Tabular Format</t>
        </is>
      </c>
      <c r="D652" t="n">
        <v>2</v>
      </c>
      <c r="E652" t="n">
        <v>5</v>
      </c>
      <c r="F652" t="n">
        <v>40</v>
      </c>
      <c r="G652" t="n">
        <v>0.9</v>
      </c>
      <c r="H652" t="inlineStr">
        <is>
          <t>y</t>
        </is>
      </c>
      <c r="I652" s="87" t="n">
        <v>46212</v>
      </c>
      <c r="J652" s="87" t="n">
        <v>46215</v>
      </c>
      <c r="K652" s="87" t="n">
        <v>46215</v>
      </c>
      <c r="L652" t="n">
        <v>36</v>
      </c>
      <c r="M652" t="inlineStr">
        <is>
          <t>High Performance: W01 Assignment: Data in a Tabular Format</t>
        </is>
      </c>
      <c r="N652" t="inlineStr">
        <is>
          <t>Provide Positive Feedback on W01 Assignment: Data in a Tabular Format</t>
        </is>
      </c>
    </row>
    <row r="653">
      <c r="A653" t="inlineStr">
        <is>
          <t>ITM111</t>
        </is>
      </c>
      <c r="B653" t="inlineStr">
        <is>
          <t>Low Performance</t>
        </is>
      </c>
      <c r="C653" t="inlineStr">
        <is>
          <t>W01 Assignment: Data in a Tabular Format</t>
        </is>
      </c>
      <c r="D653" t="n">
        <v>2</v>
      </c>
      <c r="E653" t="n">
        <v>5</v>
      </c>
      <c r="F653" t="n">
        <v>40</v>
      </c>
      <c r="G653" t="n">
        <v>0.7</v>
      </c>
      <c r="H653" t="inlineStr">
        <is>
          <t>y</t>
        </is>
      </c>
      <c r="I653" s="87" t="n">
        <v>46212</v>
      </c>
      <c r="J653" s="87" t="n">
        <v>46215</v>
      </c>
      <c r="K653" s="87" t="n">
        <v>46215</v>
      </c>
      <c r="L653" t="n">
        <v>28</v>
      </c>
      <c r="M653" t="inlineStr">
        <is>
          <t>Low Performance: W01 Assignment: Data in a Tabular Format</t>
        </is>
      </c>
      <c r="N653" t="inlineStr">
        <is>
          <t xml:space="preserve">At Risk. Student scored below 70% on W01 Assignment: Data in a Tabular Format. Check in to see how you can help. </t>
        </is>
      </c>
    </row>
    <row r="654">
      <c r="A654" t="inlineStr">
        <is>
          <t>ITM111</t>
        </is>
      </c>
      <c r="B654" t="inlineStr">
        <is>
          <t>Missing Assignment</t>
        </is>
      </c>
      <c r="C654" t="inlineStr">
        <is>
          <t>W02 Assignment: Database Design</t>
        </is>
      </c>
      <c r="D654" t="n">
        <v>3</v>
      </c>
      <c r="E654" t="n">
        <v>2</v>
      </c>
      <c r="F654" t="n">
        <v>40</v>
      </c>
      <c r="H654" t="inlineStr">
        <is>
          <t>y</t>
        </is>
      </c>
      <c r="I654" s="87" t="n">
        <v>46216</v>
      </c>
      <c r="J654" s="87" t="n">
        <v>46219</v>
      </c>
      <c r="K654" s="87" t="n">
        <v>46222</v>
      </c>
      <c r="L654" t="n">
        <v>0</v>
      </c>
      <c r="M654" t="inlineStr">
        <is>
          <t>Missing Assignment: W02 Assignment: Database Design</t>
        </is>
      </c>
      <c r="N654" t="inlineStr">
        <is>
          <t>Check in with student missing W02 Assignment: Database Design</t>
        </is>
      </c>
    </row>
    <row r="655">
      <c r="A655" t="inlineStr">
        <is>
          <t>ITM111</t>
        </is>
      </c>
      <c r="B655" t="inlineStr">
        <is>
          <t>Quiz Question</t>
        </is>
      </c>
      <c r="C655" t="inlineStr">
        <is>
          <t>W02 60-second Status Update: NeedHelp Answer: Yes</t>
        </is>
      </c>
      <c r="D655" t="n">
        <v>3</v>
      </c>
      <c r="E655" t="n">
        <v>2</v>
      </c>
      <c r="H655" t="inlineStr">
        <is>
          <t>y</t>
        </is>
      </c>
      <c r="I655" s="87" t="n">
        <v>46216</v>
      </c>
      <c r="J655" s="87" t="n">
        <v>46219</v>
      </c>
      <c r="K655" s="87" t="n">
        <v>46222</v>
      </c>
      <c r="L655" t="n">
        <v>0</v>
      </c>
      <c r="M655" t="inlineStr">
        <is>
          <t>Response to 60-second W02 Assignment: Database Design</t>
        </is>
      </c>
      <c r="N655" t="inlineStr">
        <is>
          <t>Student responded feeling overwhelmed in W02 60-second Status Update. Reach out to student to see how you can help.</t>
        </is>
      </c>
    </row>
    <row r="656">
      <c r="A656" t="inlineStr">
        <is>
          <t>ITM111</t>
        </is>
      </c>
      <c r="B656" t="inlineStr">
        <is>
          <t>Grader-Issued 0</t>
        </is>
      </c>
      <c r="C656" t="inlineStr">
        <is>
          <t>W02 Assignment: Database Design</t>
        </is>
      </c>
      <c r="D656" t="n">
        <v>3</v>
      </c>
      <c r="E656" t="n">
        <v>4</v>
      </c>
      <c r="F656" t="n">
        <v>40</v>
      </c>
      <c r="H656" t="inlineStr">
        <is>
          <t>y</t>
        </is>
      </c>
      <c r="I656" s="87" t="n">
        <v>46218</v>
      </c>
      <c r="J656" s="87" t="n">
        <v>46221</v>
      </c>
      <c r="K656" s="87" t="n">
        <v>46222</v>
      </c>
      <c r="L656" t="n">
        <v>0</v>
      </c>
      <c r="M656" t="inlineStr">
        <is>
          <t>The student was given a Grader issued 0 on W02 Assignment: Exploring Workbench</t>
        </is>
      </c>
      <c r="N656" t="inlineStr">
        <is>
          <t>Grader issued 0 for W02 Assignment: Database Design. Log into Canvas and see the grader comments. Work with the student to help resubmit.</t>
        </is>
      </c>
    </row>
    <row r="657">
      <c r="A657" t="inlineStr">
        <is>
          <t>ITM111</t>
        </is>
      </c>
      <c r="B657" t="inlineStr">
        <is>
          <t>High Performance</t>
        </is>
      </c>
      <c r="C657" t="inlineStr">
        <is>
          <t>W02 Assignment: Database Design</t>
        </is>
      </c>
      <c r="D657" t="n">
        <v>3</v>
      </c>
      <c r="E657" t="n">
        <v>5</v>
      </c>
      <c r="F657" t="n">
        <v>40</v>
      </c>
      <c r="G657" t="n">
        <v>0.9</v>
      </c>
      <c r="H657" t="inlineStr">
        <is>
          <t>y</t>
        </is>
      </c>
      <c r="I657" s="87" t="n">
        <v>46219</v>
      </c>
      <c r="J657" s="87" t="n">
        <v>46222</v>
      </c>
      <c r="K657" s="87" t="n">
        <v>46222</v>
      </c>
      <c r="L657" t="n">
        <v>36</v>
      </c>
      <c r="M657" t="inlineStr">
        <is>
          <t>High Performance: W02 Assignment: Database Design</t>
        </is>
      </c>
      <c r="N657" t="inlineStr">
        <is>
          <t>Provide Positive Feedback on W02 Assignment: Database Design</t>
        </is>
      </c>
    </row>
    <row r="658">
      <c r="A658" t="inlineStr">
        <is>
          <t>ITM111</t>
        </is>
      </c>
      <c r="B658" t="inlineStr">
        <is>
          <t>Low Performance</t>
        </is>
      </c>
      <c r="C658" t="inlineStr">
        <is>
          <t>W02 Assignment: Database Design</t>
        </is>
      </c>
      <c r="D658" t="n">
        <v>3</v>
      </c>
      <c r="E658" t="n">
        <v>5</v>
      </c>
      <c r="F658" t="n">
        <v>40</v>
      </c>
      <c r="G658" t="n">
        <v>0.7</v>
      </c>
      <c r="H658" t="inlineStr">
        <is>
          <t>y</t>
        </is>
      </c>
      <c r="I658" s="87" t="n">
        <v>46219</v>
      </c>
      <c r="J658" s="87" t="n">
        <v>46222</v>
      </c>
      <c r="K658" s="87" t="n">
        <v>46222</v>
      </c>
      <c r="L658" t="n">
        <v>28</v>
      </c>
      <c r="M658" t="inlineStr">
        <is>
          <t>Low Performance: W02 Assignment: Database Design</t>
        </is>
      </c>
      <c r="N658" t="inlineStr">
        <is>
          <t xml:space="preserve">At Risk. Student scored below 70% on W02 Assignment: Database Design. Check in to see how you can help. </t>
        </is>
      </c>
    </row>
    <row r="659">
      <c r="A659" t="inlineStr">
        <is>
          <t>ITM111</t>
        </is>
      </c>
      <c r="B659" t="inlineStr">
        <is>
          <t>Missing Assignment</t>
        </is>
      </c>
      <c r="C659" t="inlineStr">
        <is>
          <t>W03 Assignment: Design and Populate Art DB</t>
        </is>
      </c>
      <c r="D659" t="n">
        <v>4</v>
      </c>
      <c r="E659" t="n">
        <v>2</v>
      </c>
      <c r="F659" t="n">
        <v>80</v>
      </c>
      <c r="H659" t="inlineStr">
        <is>
          <t>y</t>
        </is>
      </c>
      <c r="I659" s="87" t="n">
        <v>46223</v>
      </c>
      <c r="J659" s="87" t="n">
        <v>46226</v>
      </c>
      <c r="K659" s="87" t="n">
        <v>46229</v>
      </c>
      <c r="L659" t="n">
        <v>0</v>
      </c>
      <c r="M659" t="inlineStr">
        <is>
          <t>Missing Assignment: W03 Quiz/Assignment: SQL Overview</t>
        </is>
      </c>
      <c r="N659" t="inlineStr">
        <is>
          <t>Check in with student missing W03 Quiz/Assignment: SQL Overview</t>
        </is>
      </c>
    </row>
    <row r="660">
      <c r="A660" t="inlineStr">
        <is>
          <t>ITM111</t>
        </is>
      </c>
      <c r="B660" t="inlineStr">
        <is>
          <t>Quiz Question</t>
        </is>
      </c>
      <c r="C660" t="inlineStr">
        <is>
          <t>W03 60-second Status Update: NeedHelp Answer: Yes</t>
        </is>
      </c>
      <c r="D660" t="n">
        <v>4</v>
      </c>
      <c r="E660" t="n">
        <v>2</v>
      </c>
      <c r="H660" t="inlineStr">
        <is>
          <t>y</t>
        </is>
      </c>
      <c r="I660" s="87" t="n">
        <v>46223</v>
      </c>
      <c r="J660" s="87" t="n">
        <v>46226</v>
      </c>
      <c r="K660" s="87" t="n">
        <v>46229</v>
      </c>
      <c r="L660" t="n">
        <v>0</v>
      </c>
      <c r="M660" t="inlineStr">
        <is>
          <t>Response to 60-second W03 Status Update. Student feels overwhelmed.</t>
        </is>
      </c>
      <c r="N660" t="inlineStr">
        <is>
          <t>Student responded feeling overwhelmed in W03 60-second Status Update. Reach out to student to see how you can help.</t>
        </is>
      </c>
    </row>
    <row r="661">
      <c r="A661" t="inlineStr">
        <is>
          <t>ITM111</t>
        </is>
      </c>
      <c r="B661" t="inlineStr">
        <is>
          <t>Grader-Issued 0</t>
        </is>
      </c>
      <c r="C661" t="inlineStr">
        <is>
          <t>W03 Assignment: Design and Populate Art DB</t>
        </is>
      </c>
      <c r="D661" t="n">
        <v>4</v>
      </c>
      <c r="E661" t="n">
        <v>4</v>
      </c>
      <c r="F661" t="n">
        <v>80</v>
      </c>
      <c r="H661" t="inlineStr">
        <is>
          <t>y</t>
        </is>
      </c>
      <c r="I661" s="87" t="n">
        <v>46225</v>
      </c>
      <c r="J661" s="87" t="n">
        <v>46228</v>
      </c>
      <c r="K661" s="87" t="n">
        <v>46229</v>
      </c>
      <c r="L661" t="n">
        <v>0</v>
      </c>
      <c r="M661" t="inlineStr">
        <is>
          <t>The student was given a Grader issued 0 on W03 Assignment: Design and Populate Art DB</t>
        </is>
      </c>
      <c r="N661" t="inlineStr">
        <is>
          <t>Grader issued 0 for W03 Quiz/Assignment: SQL Overview. Log into Canvas and see the grader comments. Work with the student to help resubmit.</t>
        </is>
      </c>
    </row>
    <row r="662">
      <c r="A662" t="inlineStr">
        <is>
          <t>ITM111</t>
        </is>
      </c>
      <c r="B662" t="inlineStr">
        <is>
          <t>Scheduled - Low Current Grade</t>
        </is>
      </c>
      <c r="C662" t="inlineStr">
        <is>
          <t>Withdraw Deadline Reminder</t>
        </is>
      </c>
      <c r="D662" t="n">
        <v>4</v>
      </c>
      <c r="E662" t="n">
        <v>4</v>
      </c>
      <c r="G662" t="n">
        <v>0.5</v>
      </c>
      <c r="H662" t="inlineStr">
        <is>
          <t>y</t>
        </is>
      </c>
      <c r="I662" s="87" t="n">
        <v>46225</v>
      </c>
      <c r="J662" s="87" t="n">
        <v>46228</v>
      </c>
      <c r="K662" s="87" t="n">
        <v>46229</v>
      </c>
      <c r="L662" t="n">
        <v>0</v>
      </c>
      <c r="M662" t="inlineStr">
        <is>
          <t>Failing student. Withdraw Reminder</t>
        </is>
      </c>
      <c r="N662" t="inlineStr">
        <is>
          <t>Email students who are currently failing with little chance to catch up, reminding them of the withdraw deadline.</t>
        </is>
      </c>
    </row>
    <row r="663">
      <c r="A663" t="inlineStr">
        <is>
          <t>ITM111</t>
        </is>
      </c>
      <c r="B663" t="inlineStr">
        <is>
          <t>High Performance</t>
        </is>
      </c>
      <c r="C663" t="inlineStr">
        <is>
          <t>W03 Assignment: Design and Populate Art DB</t>
        </is>
      </c>
      <c r="D663" t="n">
        <v>4</v>
      </c>
      <c r="E663" t="n">
        <v>5</v>
      </c>
      <c r="F663" t="n">
        <v>80</v>
      </c>
      <c r="G663" t="n">
        <v>0.9</v>
      </c>
      <c r="H663" t="inlineStr">
        <is>
          <t>y</t>
        </is>
      </c>
      <c r="I663" s="87" t="n">
        <v>46226</v>
      </c>
      <c r="J663" s="87" t="n">
        <v>46229</v>
      </c>
      <c r="K663" s="87" t="n">
        <v>46229</v>
      </c>
      <c r="L663" t="n">
        <v>72</v>
      </c>
      <c r="M663" t="inlineStr">
        <is>
          <t>High Performance: W03 Assignment: Design and Populate Art DB</t>
        </is>
      </c>
      <c r="N663" t="inlineStr">
        <is>
          <t>Provide Positive Feedback on W03 Quiz/Assignment: SQL Overview</t>
        </is>
      </c>
    </row>
    <row r="664">
      <c r="A664" t="inlineStr">
        <is>
          <t>ITM111</t>
        </is>
      </c>
      <c r="B664" t="inlineStr">
        <is>
          <t>Low Performance</t>
        </is>
      </c>
      <c r="C664" t="inlineStr">
        <is>
          <t>W03 Assignment: Design and Populate Art DB</t>
        </is>
      </c>
      <c r="D664" t="n">
        <v>4</v>
      </c>
      <c r="E664" t="n">
        <v>5</v>
      </c>
      <c r="F664" t="n">
        <v>80</v>
      </c>
      <c r="G664" t="n">
        <v>0.7</v>
      </c>
      <c r="H664" t="inlineStr">
        <is>
          <t>y</t>
        </is>
      </c>
      <c r="I664" s="87" t="n">
        <v>46226</v>
      </c>
      <c r="J664" s="87" t="n">
        <v>46229</v>
      </c>
      <c r="K664" s="87" t="n">
        <v>46229</v>
      </c>
      <c r="L664" t="n">
        <v>56</v>
      </c>
      <c r="M664" t="inlineStr">
        <is>
          <t>Low Performance: W03 Quiz/Assignment: SQL Overview</t>
        </is>
      </c>
      <c r="N664" t="inlineStr">
        <is>
          <t xml:space="preserve">At Risk. Student scored below 70% on W03 Quiz/Assignment: SQL Overview. Check in to see how you can help. </t>
        </is>
      </c>
    </row>
    <row r="665">
      <c r="A665" t="inlineStr">
        <is>
          <t>ITM111</t>
        </is>
      </c>
      <c r="B665" t="inlineStr">
        <is>
          <t>Missing Assignment</t>
        </is>
      </c>
      <c r="C665" t="inlineStr">
        <is>
          <t>W04 Assignment: Single Table Queries</t>
        </is>
      </c>
      <c r="D665" t="n">
        <v>5</v>
      </c>
      <c r="E665" t="n">
        <v>2</v>
      </c>
      <c r="F665" t="n">
        <v>80</v>
      </c>
      <c r="H665" t="inlineStr">
        <is>
          <t>y</t>
        </is>
      </c>
      <c r="I665" s="87" t="n">
        <v>46230</v>
      </c>
      <c r="J665" s="87" t="n">
        <v>46233</v>
      </c>
      <c r="K665" s="87" t="n">
        <v>46236</v>
      </c>
      <c r="L665" t="n">
        <v>0</v>
      </c>
      <c r="M665" t="inlineStr">
        <is>
          <t>Missing Assignment: W04 Assignment: Single Table Queries</t>
        </is>
      </c>
      <c r="N665" t="inlineStr">
        <is>
          <t>Check in with student missing W04 Assignment: Single Table Queries</t>
        </is>
      </c>
    </row>
    <row r="666">
      <c r="A666" t="inlineStr">
        <is>
          <t>ITM111</t>
        </is>
      </c>
      <c r="B666" t="inlineStr">
        <is>
          <t>Quiz Question</t>
        </is>
      </c>
      <c r="C666" t="inlineStr">
        <is>
          <t>W04 60-second Status Update: NeedHelp Answer: Yes</t>
        </is>
      </c>
      <c r="D666" t="n">
        <v>5</v>
      </c>
      <c r="E666" t="n">
        <v>2</v>
      </c>
      <c r="H666" t="inlineStr">
        <is>
          <t>y</t>
        </is>
      </c>
      <c r="I666" s="87" t="n">
        <v>46230</v>
      </c>
      <c r="J666" s="87" t="n">
        <v>46233</v>
      </c>
      <c r="K666" s="87" t="n">
        <v>46236</v>
      </c>
      <c r="L666" t="n">
        <v>0</v>
      </c>
      <c r="M666" t="inlineStr">
        <is>
          <t>Response to 60-second W04 Status Update. Student feels overwhelmed.</t>
        </is>
      </c>
      <c r="N666" t="inlineStr">
        <is>
          <t>Student responded feeling overwhelmed in W04 60-second Status Update. Reach out to student to see how you can help.</t>
        </is>
      </c>
    </row>
    <row r="667">
      <c r="A667" t="inlineStr">
        <is>
          <t>ITM111</t>
        </is>
      </c>
      <c r="B667" t="inlineStr">
        <is>
          <t>Grader-Issued 0</t>
        </is>
      </c>
      <c r="C667" t="inlineStr">
        <is>
          <t>W04 Assignment: Single Table Queries</t>
        </is>
      </c>
      <c r="D667" t="n">
        <v>5</v>
      </c>
      <c r="E667" t="n">
        <v>4</v>
      </c>
      <c r="F667" t="n">
        <v>80</v>
      </c>
      <c r="H667" t="inlineStr">
        <is>
          <t>y</t>
        </is>
      </c>
      <c r="I667" s="87" t="n">
        <v>46232</v>
      </c>
      <c r="J667" s="87" t="n">
        <v>46235</v>
      </c>
      <c r="K667" s="87" t="n">
        <v>46236</v>
      </c>
      <c r="L667" t="n">
        <v>0</v>
      </c>
      <c r="M667" t="inlineStr">
        <is>
          <t>The student was given a Grader issued 0 on W04 Assignment: Single Table Queries</t>
        </is>
      </c>
      <c r="N667" t="inlineStr">
        <is>
          <t>Grader issued 0 for W04 Assignment: Single Table Queries. Log into Canvas and see the grader comments. Work with the student to help resubmit.</t>
        </is>
      </c>
    </row>
    <row r="668">
      <c r="A668" t="inlineStr">
        <is>
          <t>ITM111</t>
        </is>
      </c>
      <c r="B668" t="inlineStr">
        <is>
          <t>Scheduled - Classwide</t>
        </is>
      </c>
      <c r="C668" t="inlineStr">
        <is>
          <t>Registration Reminder 1</t>
        </is>
      </c>
      <c r="D668" t="n">
        <v>5</v>
      </c>
      <c r="E668" t="n">
        <v>4</v>
      </c>
      <c r="H668" t="inlineStr">
        <is>
          <t>y</t>
        </is>
      </c>
      <c r="I668" s="87" t="n">
        <v>46232</v>
      </c>
      <c r="J668" s="87" t="n">
        <v>46235</v>
      </c>
      <c r="K668" s="87" t="n">
        <v>46236</v>
      </c>
      <c r="L668" t="n">
        <v>0</v>
      </c>
      <c r="M668" t="inlineStr">
        <is>
          <t>Registration Reminder 1</t>
        </is>
      </c>
      <c r="N668" t="inlineStr">
        <is>
          <t>Send a message to all students, reminding them that registration for the next block is now open and encouraging them to go and take action.</t>
        </is>
      </c>
    </row>
    <row r="669">
      <c r="A669" t="inlineStr">
        <is>
          <t>ITM111</t>
        </is>
      </c>
      <c r="B669" t="inlineStr">
        <is>
          <t>High Performance</t>
        </is>
      </c>
      <c r="C669" t="inlineStr">
        <is>
          <t>W04 Assignment: Single Table Queries</t>
        </is>
      </c>
      <c r="D669" t="n">
        <v>5</v>
      </c>
      <c r="E669" t="n">
        <v>5</v>
      </c>
      <c r="F669" t="n">
        <v>80</v>
      </c>
      <c r="G669" t="n">
        <v>0.9</v>
      </c>
      <c r="H669" t="inlineStr">
        <is>
          <t>y</t>
        </is>
      </c>
      <c r="I669" s="87" t="n">
        <v>46233</v>
      </c>
      <c r="J669" s="87" t="n">
        <v>46236</v>
      </c>
      <c r="K669" s="87" t="n">
        <v>46236</v>
      </c>
      <c r="L669" t="n">
        <v>72</v>
      </c>
      <c r="M669" t="inlineStr">
        <is>
          <t>High Performance: W04 Assignment: Single Table Queries</t>
        </is>
      </c>
      <c r="N669" t="inlineStr">
        <is>
          <t>Provide Positive Feedback on W04 Assignment: Single Table Queries</t>
        </is>
      </c>
    </row>
    <row r="670">
      <c r="A670" t="inlineStr">
        <is>
          <t>ITM111</t>
        </is>
      </c>
      <c r="B670" t="inlineStr">
        <is>
          <t>Low Performance</t>
        </is>
      </c>
      <c r="C670" t="inlineStr">
        <is>
          <t>W04 Assignment: Single Table Queries</t>
        </is>
      </c>
      <c r="D670" t="n">
        <v>5</v>
      </c>
      <c r="E670" t="n">
        <v>5</v>
      </c>
      <c r="F670" t="n">
        <v>80</v>
      </c>
      <c r="G670" t="n">
        <v>0.7</v>
      </c>
      <c r="H670" t="inlineStr">
        <is>
          <t>y</t>
        </is>
      </c>
      <c r="I670" s="87" t="n">
        <v>46233</v>
      </c>
      <c r="J670" s="87" t="n">
        <v>46236</v>
      </c>
      <c r="K670" s="87" t="n">
        <v>46236</v>
      </c>
      <c r="L670" t="n">
        <v>56</v>
      </c>
      <c r="M670" t="inlineStr">
        <is>
          <t>Low Performance: W04 Assignment: Single Table Queries</t>
        </is>
      </c>
      <c r="N670" t="inlineStr">
        <is>
          <t xml:space="preserve">At Risk. Student scored below 70% on W04 Assignment: Single Table Queries. Check in to see how you can help. </t>
        </is>
      </c>
    </row>
    <row r="671">
      <c r="A671" t="inlineStr">
        <is>
          <t>ITM111</t>
        </is>
      </c>
      <c r="B671" t="inlineStr">
        <is>
          <t>Missing Assignment</t>
        </is>
      </c>
      <c r="C671" t="inlineStr">
        <is>
          <t>W05 Assignment: Joining Tables and Aggregating Data</t>
        </is>
      </c>
      <c r="D671" t="n">
        <v>6</v>
      </c>
      <c r="E671" t="n">
        <v>2</v>
      </c>
      <c r="F671" t="n">
        <v>80</v>
      </c>
      <c r="H671" t="inlineStr">
        <is>
          <t>y</t>
        </is>
      </c>
      <c r="I671" s="87" t="n">
        <v>46237</v>
      </c>
      <c r="J671" s="87" t="n">
        <v>46240</v>
      </c>
      <c r="K671" s="87" t="n">
        <v>46243</v>
      </c>
      <c r="L671" t="n">
        <v>0</v>
      </c>
      <c r="M671" t="inlineStr">
        <is>
          <t>Missing Assignment: W05 Assignment: Joining Tables and Aggregating Data</t>
        </is>
      </c>
      <c r="N671" t="inlineStr">
        <is>
          <t>Check in with student missing W05 Assignment: Joining Tables and Aggregating Data</t>
        </is>
      </c>
    </row>
    <row r="672">
      <c r="A672" t="inlineStr">
        <is>
          <t>ITM111</t>
        </is>
      </c>
      <c r="B672" t="inlineStr">
        <is>
          <t>Quiz Question</t>
        </is>
      </c>
      <c r="C672" t="inlineStr">
        <is>
          <t>W05 60-second Status Update: NeedHelp Answer: Yes</t>
        </is>
      </c>
      <c r="D672" t="n">
        <v>6</v>
      </c>
      <c r="E672" t="n">
        <v>2</v>
      </c>
      <c r="H672" t="inlineStr">
        <is>
          <t>y</t>
        </is>
      </c>
      <c r="I672" s="87" t="n">
        <v>46237</v>
      </c>
      <c r="J672" s="87" t="n">
        <v>46240</v>
      </c>
      <c r="K672" s="87" t="n">
        <v>46243</v>
      </c>
      <c r="L672" t="n">
        <v>0</v>
      </c>
      <c r="M672" t="inlineStr">
        <is>
          <t>Response to 60-second W05 Status Update. Student feels overwhelmed.</t>
        </is>
      </c>
      <c r="N672" t="inlineStr">
        <is>
          <t>Student responded feeling overwhelmed in W05 60-second Status Update. Reach out to student to see how you can help.</t>
        </is>
      </c>
    </row>
    <row r="673">
      <c r="A673" t="inlineStr">
        <is>
          <t>ITM111</t>
        </is>
      </c>
      <c r="B673" t="inlineStr">
        <is>
          <t>Grader-Issued 0</t>
        </is>
      </c>
      <c r="C673" t="inlineStr">
        <is>
          <t>W05 Assignment: Joining Tables and Aggregating Data</t>
        </is>
      </c>
      <c r="D673" t="n">
        <v>6</v>
      </c>
      <c r="E673" t="n">
        <v>4</v>
      </c>
      <c r="F673" t="n">
        <v>80</v>
      </c>
      <c r="H673" t="inlineStr">
        <is>
          <t>y</t>
        </is>
      </c>
      <c r="I673" s="87" t="n">
        <v>46239</v>
      </c>
      <c r="J673" s="87" t="n">
        <v>46242</v>
      </c>
      <c r="K673" s="87" t="n">
        <v>46243</v>
      </c>
      <c r="L673" t="n">
        <v>0</v>
      </c>
      <c r="M673" t="inlineStr">
        <is>
          <t>The student was given a Grader issued 0 on W05 Assignment: Joining Tables and Aggregating Data</t>
        </is>
      </c>
      <c r="N673" t="inlineStr">
        <is>
          <t>Grader issued 0 for W05 Assignment: Joining Tables and Aggregating Data. Log into Canvas and see the grader comments. Work with the student to help resubmit.</t>
        </is>
      </c>
    </row>
    <row r="674">
      <c r="A674" t="inlineStr">
        <is>
          <t>ITM111</t>
        </is>
      </c>
      <c r="B674" t="inlineStr">
        <is>
          <t>High Performance</t>
        </is>
      </c>
      <c r="C674" t="inlineStr">
        <is>
          <t>W05 Assignment: Joining Tables and Aggregating Data</t>
        </is>
      </c>
      <c r="D674" t="n">
        <v>6</v>
      </c>
      <c r="E674" t="n">
        <v>5</v>
      </c>
      <c r="F674" t="n">
        <v>80</v>
      </c>
      <c r="G674" t="n">
        <v>0.9</v>
      </c>
      <c r="H674" t="inlineStr">
        <is>
          <t>y</t>
        </is>
      </c>
      <c r="I674" s="87" t="n">
        <v>46240</v>
      </c>
      <c r="J674" s="87" t="n">
        <v>46243</v>
      </c>
      <c r="K674" s="87" t="n">
        <v>46243</v>
      </c>
      <c r="L674" t="n">
        <v>72</v>
      </c>
      <c r="M674" t="inlineStr">
        <is>
          <t>High Performance: W05 Assignment: Joining Tables and Aggregating Data</t>
        </is>
      </c>
      <c r="N674" t="inlineStr">
        <is>
          <t>Provide Positive Feedback on W05 Assignment: Joining Tables and Aggregating Data</t>
        </is>
      </c>
    </row>
    <row r="675">
      <c r="A675" t="inlineStr">
        <is>
          <t>ITM111</t>
        </is>
      </c>
      <c r="B675" t="inlineStr">
        <is>
          <t>Low Performance</t>
        </is>
      </c>
      <c r="C675" t="inlineStr">
        <is>
          <t>W05 Assignment: Joining Tables and Aggregating Data</t>
        </is>
      </c>
      <c r="D675" t="n">
        <v>6</v>
      </c>
      <c r="E675" t="n">
        <v>5</v>
      </c>
      <c r="F675" t="n">
        <v>80</v>
      </c>
      <c r="G675" t="n">
        <v>0.7</v>
      </c>
      <c r="H675" t="inlineStr">
        <is>
          <t>y</t>
        </is>
      </c>
      <c r="I675" s="87" t="n">
        <v>46240</v>
      </c>
      <c r="J675" s="87" t="n">
        <v>46243</v>
      </c>
      <c r="K675" s="87" t="n">
        <v>46243</v>
      </c>
      <c r="L675" t="n">
        <v>56</v>
      </c>
      <c r="M675" t="inlineStr">
        <is>
          <t>Low Performance: W05 Assignment: Joining Tables and Aggregating Data</t>
        </is>
      </c>
      <c r="N675" t="inlineStr">
        <is>
          <t xml:space="preserve">At Risk. Student scored below 70% on W05 Assignment: Joining Tables and Aggregating Data. Check in to see how you can help. </t>
        </is>
      </c>
    </row>
    <row r="676">
      <c r="A676" t="inlineStr">
        <is>
          <t>ITM111</t>
        </is>
      </c>
      <c r="B676" t="inlineStr">
        <is>
          <t>Scheduled - Classwide</t>
        </is>
      </c>
      <c r="C676" t="inlineStr">
        <is>
          <t>Registration Reminder 2</t>
        </is>
      </c>
      <c r="D676" t="n">
        <v>7</v>
      </c>
      <c r="E676" t="n">
        <v>1</v>
      </c>
      <c r="H676" t="inlineStr">
        <is>
          <t>y</t>
        </is>
      </c>
      <c r="I676" s="87" t="n">
        <v>46243</v>
      </c>
      <c r="J676" s="87" t="n">
        <v>46246</v>
      </c>
      <c r="K676" s="87" t="n">
        <v>46250</v>
      </c>
      <c r="L676" t="n">
        <v>0</v>
      </c>
      <c r="M676" t="inlineStr">
        <is>
          <t>Registration Reminder 2</t>
        </is>
      </c>
      <c r="N676" t="inlineStr">
        <is>
          <t>Send a message to all students, reminding them that registration for the next block is still open, but will be closing soon. Encourage them to go in and register as soon as possible.</t>
        </is>
      </c>
    </row>
    <row r="677">
      <c r="A677" t="inlineStr">
        <is>
          <t>ITM111</t>
        </is>
      </c>
      <c r="B677" t="inlineStr">
        <is>
          <t>Scheduled - Classwide</t>
        </is>
      </c>
      <c r="C677" t="inlineStr">
        <is>
          <t>End of Block Reminder</t>
        </is>
      </c>
      <c r="D677" t="n">
        <v>7</v>
      </c>
      <c r="E677" t="n">
        <v>2</v>
      </c>
      <c r="H677" t="inlineStr">
        <is>
          <t>y</t>
        </is>
      </c>
      <c r="I677" s="87" t="n">
        <v>46244</v>
      </c>
      <c r="J677" s="87" t="n">
        <v>46247</v>
      </c>
      <c r="K677" s="87" t="n">
        <v>46250</v>
      </c>
      <c r="L677" t="n">
        <v>0</v>
      </c>
      <c r="M677" t="inlineStr">
        <is>
          <t>End of Block Reminder</t>
        </is>
      </c>
      <c r="N677" t="inlineStr">
        <is>
          <t>Remind Students the course will be closing, submit assignments by deadline, complete End-of-Course Evaluation</t>
        </is>
      </c>
    </row>
    <row r="678">
      <c r="A678" t="inlineStr">
        <is>
          <t>WDD130</t>
        </is>
      </c>
      <c r="B678" t="inlineStr">
        <is>
          <t>Grader-Issued 0</t>
        </is>
      </c>
      <c r="C678" t="inlineStr">
        <is>
          <t>W01 Assignment: Home Page</t>
        </is>
      </c>
      <c r="D678" t="n">
        <v>2</v>
      </c>
      <c r="E678" t="n">
        <v>4</v>
      </c>
      <c r="F678" t="n">
        <v>30</v>
      </c>
      <c r="H678" t="inlineStr">
        <is>
          <t>y</t>
        </is>
      </c>
      <c r="I678" s="87" t="n">
        <v>46211</v>
      </c>
      <c r="J678" s="87" t="n">
        <v>46214</v>
      </c>
      <c r="K678" s="87" t="n">
        <v>46215</v>
      </c>
      <c r="L678" t="n">
        <v>0</v>
      </c>
      <c r="M678" t="inlineStr">
        <is>
          <t>GRADE WARNING: Grader Issued 0 for W01 Home Page</t>
        </is>
      </c>
      <c r="N678" t="inlineStr">
        <is>
          <t>On week 2, Day 4 (Wednesday) Send a message to students who have a grader issued 0% (0/30) for W01 Assignment: Home Page. Review the Notes and Rubric, the student likely submitted the incorrect link to their assignment.</t>
        </is>
      </c>
    </row>
    <row r="679">
      <c r="A679" t="inlineStr">
        <is>
          <t>WDD130</t>
        </is>
      </c>
      <c r="B679" t="inlineStr">
        <is>
          <t>Grader-Issued 0</t>
        </is>
      </c>
      <c r="C679" t="inlineStr">
        <is>
          <t>W02 Assignment: Home Page Enhancement</t>
        </is>
      </c>
      <c r="D679" t="n">
        <v>3</v>
      </c>
      <c r="E679" t="n">
        <v>4</v>
      </c>
      <c r="F679" t="n">
        <v>30</v>
      </c>
      <c r="H679" t="inlineStr">
        <is>
          <t>y</t>
        </is>
      </c>
      <c r="I679" s="87" t="n">
        <v>46218</v>
      </c>
      <c r="J679" s="87" t="n">
        <v>46221</v>
      </c>
      <c r="K679" s="87" t="n">
        <v>46222</v>
      </c>
      <c r="L679" t="n">
        <v>0</v>
      </c>
      <c r="M679" t="inlineStr">
        <is>
          <t>GRADE WARNING: Grader Issued 0 for W02 Home Page Enhancement</t>
        </is>
      </c>
      <c r="N679" t="inlineStr">
        <is>
          <t>On week 3, Day 4 (Wednesday) Send a message to students who scored 0% (0/30) on their W02 Assignment: Home Page Enhancement. Scoring a 0% is likely due to an incorrect submission link.</t>
        </is>
      </c>
    </row>
    <row r="680">
      <c r="A680" t="inlineStr">
        <is>
          <t>WDD130</t>
        </is>
      </c>
      <c r="B680" t="inlineStr">
        <is>
          <t>Grader-Issued 0</t>
        </is>
      </c>
      <c r="C680" t="inlineStr">
        <is>
          <t>W03 Assignment: Rafting Site - About Us Page</t>
        </is>
      </c>
      <c r="D680" t="n">
        <v>4</v>
      </c>
      <c r="E680" t="n">
        <v>4</v>
      </c>
      <c r="F680" t="n">
        <v>30</v>
      </c>
      <c r="H680" t="inlineStr">
        <is>
          <t>y</t>
        </is>
      </c>
      <c r="I680" s="87" t="n">
        <v>46225</v>
      </c>
      <c r="J680" s="87" t="n">
        <v>46228</v>
      </c>
      <c r="K680" s="87" t="n">
        <v>46229</v>
      </c>
      <c r="L680" t="n">
        <v>0</v>
      </c>
      <c r="M680" t="inlineStr">
        <is>
          <t>GRADE WARNING: Grader Issued 0 for W03 Rafting Site - About Us Page</t>
        </is>
      </c>
      <c r="N680" t="inlineStr">
        <is>
          <t xml:space="preserve">On week 4, Day 4 (Wednesday) Send a message to students who scored less than 0% (0/30 or less) on W03 Assignment: Student's Home Page. This can be due to submitting the wrong link or having more than 8 or more x's in the evaluation tool. </t>
        </is>
      </c>
    </row>
    <row r="681">
      <c r="A681" t="inlineStr">
        <is>
          <t>WDD130</t>
        </is>
      </c>
      <c r="B681" t="inlineStr">
        <is>
          <t>Grader-Issued 0</t>
        </is>
      </c>
      <c r="C681" t="inlineStr">
        <is>
          <t>W04 Assignment: Rafting Site - Update About Us Page</t>
        </is>
      </c>
      <c r="D681" t="n">
        <v>5</v>
      </c>
      <c r="E681" t="n">
        <v>4</v>
      </c>
      <c r="F681" t="n">
        <v>30</v>
      </c>
      <c r="H681" t="inlineStr">
        <is>
          <t>y</t>
        </is>
      </c>
      <c r="I681" s="87" t="n">
        <v>46232</v>
      </c>
      <c r="J681" s="87" t="n">
        <v>46235</v>
      </c>
      <c r="K681" s="87" t="n">
        <v>46236</v>
      </c>
      <c r="L681" t="n">
        <v>0</v>
      </c>
      <c r="M681" t="inlineStr">
        <is>
          <t>GRADE WARNING: Grader Issued 0 for W04 Rafting Site - Update About Us Page</t>
        </is>
      </c>
      <c r="N681" t="inlineStr">
        <is>
          <t>On week 5, Day 4 (Wednesday) Send a message to students who scored less than 0% (0/30) on their W04 Assignment: Home Page Enhancement. Ask Students if they have questions or concerns.</t>
        </is>
      </c>
    </row>
    <row r="682">
      <c r="A682" t="inlineStr">
        <is>
          <t>WDD130</t>
        </is>
      </c>
      <c r="B682" t="inlineStr">
        <is>
          <t>Grader-Issued 0</t>
        </is>
      </c>
      <c r="C682" t="inlineStr">
        <is>
          <t>W05 Assignment: Rafting Site - Contact Us Page</t>
        </is>
      </c>
      <c r="D682" t="n">
        <v>6</v>
      </c>
      <c r="E682" t="n">
        <v>4</v>
      </c>
      <c r="F682" t="n">
        <v>30</v>
      </c>
      <c r="H682" t="inlineStr">
        <is>
          <t>y</t>
        </is>
      </c>
      <c r="I682" s="87" t="n">
        <v>46239</v>
      </c>
      <c r="J682" s="87" t="n">
        <v>46242</v>
      </c>
      <c r="K682" s="87" t="n">
        <v>46243</v>
      </c>
      <c r="L682" t="n">
        <v>0</v>
      </c>
      <c r="M682" t="inlineStr">
        <is>
          <t>GRADE WARNING: Grader Issued 0 for W05 Rafting Site - Contact Us Page.</t>
        </is>
      </c>
      <c r="N682" t="inlineStr">
        <is>
          <t>On week 6, Day 4 (Wednesday) Send a message to students who scored 0% (0/30) on W05 Assignment: Rafting Site - Contact Us Page. Ask Students if they have questions or concerns.</t>
        </is>
      </c>
    </row>
    <row r="683">
      <c r="A683" t="inlineStr">
        <is>
          <t>WDD130</t>
        </is>
      </c>
      <c r="B683" t="inlineStr">
        <is>
          <t>High Performance</t>
        </is>
      </c>
      <c r="C683" t="inlineStr">
        <is>
          <t>W01 Assignment: Home Page</t>
        </is>
      </c>
      <c r="D683" t="n">
        <v>2</v>
      </c>
      <c r="E683" t="n">
        <v>4</v>
      </c>
      <c r="F683" t="n">
        <v>30</v>
      </c>
      <c r="G683" t="n">
        <v>0.85</v>
      </c>
      <c r="H683" t="inlineStr">
        <is>
          <t>y</t>
        </is>
      </c>
      <c r="I683" s="87" t="n">
        <v>46211</v>
      </c>
      <c r="J683" s="87" t="n">
        <v>46214</v>
      </c>
      <c r="K683" s="87" t="n">
        <v>46215</v>
      </c>
      <c r="L683" t="n">
        <v>25.5</v>
      </c>
      <c r="M683" t="inlineStr">
        <is>
          <t>GREAT SCORE: W01 Home Page</t>
        </is>
      </c>
      <c r="N683" t="inlineStr">
        <is>
          <t>On week 2, Day 4 (Wednesday) Send a message to students who scored more than 100% (30/30) on their W01 Assignment: Student's Home Page. Congratulate them on their accomplishment.</t>
        </is>
      </c>
    </row>
    <row r="684">
      <c r="A684" t="inlineStr">
        <is>
          <t>WDD130</t>
        </is>
      </c>
      <c r="B684" t="inlineStr">
        <is>
          <t>High Performance</t>
        </is>
      </c>
      <c r="C684" t="inlineStr">
        <is>
          <t>W02 Assignment: Home Page Enhancement</t>
        </is>
      </c>
      <c r="D684" t="n">
        <v>3</v>
      </c>
      <c r="E684" t="n">
        <v>4</v>
      </c>
      <c r="F684" t="n">
        <v>30</v>
      </c>
      <c r="G684" t="n">
        <v>0.85</v>
      </c>
      <c r="H684" t="inlineStr">
        <is>
          <t>y</t>
        </is>
      </c>
      <c r="I684" s="87" t="n">
        <v>46218</v>
      </c>
      <c r="J684" s="87" t="n">
        <v>46221</v>
      </c>
      <c r="K684" s="87" t="n">
        <v>46222</v>
      </c>
      <c r="L684" t="n">
        <v>25.5</v>
      </c>
      <c r="M684" t="inlineStr">
        <is>
          <t>GREAT SCORE: W02 Home Page Enhancement</t>
        </is>
      </c>
      <c r="N684" t="inlineStr">
        <is>
          <t>On week 3, Day 4 (Wednesday)  Send a message to students who scored more than 100% (30/30pts or more) on their W02 Assignment: Home Page Enhancement. Congratulate them on their accomplishment.</t>
        </is>
      </c>
    </row>
    <row r="685">
      <c r="A685" t="inlineStr">
        <is>
          <t>WDD130</t>
        </is>
      </c>
      <c r="B685" t="inlineStr">
        <is>
          <t>High Performance</t>
        </is>
      </c>
      <c r="C685" t="inlineStr">
        <is>
          <t>W03 Assignment: Rafting Site - About Us Page</t>
        </is>
      </c>
      <c r="D685" t="n">
        <v>4</v>
      </c>
      <c r="E685" t="n">
        <v>4</v>
      </c>
      <c r="F685" t="n">
        <v>30</v>
      </c>
      <c r="G685" t="n">
        <v>0.85</v>
      </c>
      <c r="H685" t="inlineStr">
        <is>
          <t>y</t>
        </is>
      </c>
      <c r="I685" s="87" t="n">
        <v>46225</v>
      </c>
      <c r="J685" s="87" t="n">
        <v>46228</v>
      </c>
      <c r="K685" s="87" t="n">
        <v>46229</v>
      </c>
      <c r="L685" t="n">
        <v>25.5</v>
      </c>
      <c r="M685" t="inlineStr">
        <is>
          <t>GREAT SCORE: W03 Rafting Site - About Us Page</t>
        </is>
      </c>
      <c r="N685" t="inlineStr">
        <is>
          <t>On week 4, Day 4 (Wednesday) Send a message to students who scored more than 83% (25/30pts or more) on their W03 Project: Rafting Site - About Us Page. Congratulate them on their accomplishment.</t>
        </is>
      </c>
    </row>
    <row r="686">
      <c r="A686" t="inlineStr">
        <is>
          <t>WDD130</t>
        </is>
      </c>
      <c r="B686" t="inlineStr">
        <is>
          <t>High Performance</t>
        </is>
      </c>
      <c r="C686" t="inlineStr">
        <is>
          <t>W04 Assignment: Rafting Site - Update About Us Page</t>
        </is>
      </c>
      <c r="D686" t="n">
        <v>5</v>
      </c>
      <c r="E686" t="n">
        <v>4</v>
      </c>
      <c r="F686" t="n">
        <v>30</v>
      </c>
      <c r="G686" t="n">
        <v>0.85</v>
      </c>
      <c r="H686" t="inlineStr">
        <is>
          <t>y</t>
        </is>
      </c>
      <c r="I686" s="87" t="n">
        <v>46232</v>
      </c>
      <c r="J686" s="87" t="n">
        <v>46235</v>
      </c>
      <c r="K686" s="87" t="n">
        <v>46236</v>
      </c>
      <c r="L686" t="n">
        <v>25.5</v>
      </c>
      <c r="M686" t="inlineStr">
        <is>
          <t>GREAT SCORE: W04 Rafting Site - Update About Us Page</t>
        </is>
      </c>
      <c r="N686" t="inlineStr">
        <is>
          <t>On week 5, Day 4 (Wednesday) Send a message to students who scored more than 85% (26/30pts or more) on their W04 Project: Rafting Site - Update About Us Page Assignment. Congratulate them on their accomplishment.</t>
        </is>
      </c>
    </row>
    <row r="687">
      <c r="A687" t="inlineStr">
        <is>
          <t>WDD130</t>
        </is>
      </c>
      <c r="B687" t="inlineStr">
        <is>
          <t>High Performance</t>
        </is>
      </c>
      <c r="C687" t="inlineStr">
        <is>
          <t>W05 Assignment: Rafting Site - Contact Us Page</t>
        </is>
      </c>
      <c r="D687" t="n">
        <v>6</v>
      </c>
      <c r="E687" t="n">
        <v>4</v>
      </c>
      <c r="F687" t="n">
        <v>30</v>
      </c>
      <c r="G687" t="n">
        <v>0.85</v>
      </c>
      <c r="H687" t="inlineStr">
        <is>
          <t>y</t>
        </is>
      </c>
      <c r="I687" s="87" t="n">
        <v>46239</v>
      </c>
      <c r="J687" s="87" t="n">
        <v>46242</v>
      </c>
      <c r="K687" s="87" t="n">
        <v>46243</v>
      </c>
      <c r="L687" t="n">
        <v>25.5</v>
      </c>
      <c r="M687" t="inlineStr">
        <is>
          <t>GREAT SCORE: W05 Rafting Site - Contact Us Page</t>
        </is>
      </c>
      <c r="N687" t="inlineStr">
        <is>
          <t>On week 6,Day 4 (Wednesday) Send a message to students who scored more than 85% (26/30pts or more) on their W05 Project: Rafting Site - Contact Us Page. Congratulate them on their accomplishment.</t>
        </is>
      </c>
    </row>
    <row r="688">
      <c r="A688" t="inlineStr">
        <is>
          <t>WDD130</t>
        </is>
      </c>
      <c r="B688" t="inlineStr">
        <is>
          <t>Low Performance</t>
        </is>
      </c>
      <c r="C688" t="inlineStr">
        <is>
          <t>W01 Assignment: Home Page</t>
        </is>
      </c>
      <c r="D688" t="n">
        <v>2</v>
      </c>
      <c r="E688" t="n">
        <v>4</v>
      </c>
      <c r="F688" t="n">
        <v>30</v>
      </c>
      <c r="G688" t="n">
        <v>0.7</v>
      </c>
      <c r="H688" t="inlineStr">
        <is>
          <t>y</t>
        </is>
      </c>
      <c r="I688" s="87" t="n">
        <v>46211</v>
      </c>
      <c r="J688" s="87" t="n">
        <v>46214</v>
      </c>
      <c r="K688" s="87" t="n">
        <v>46215</v>
      </c>
      <c r="L688" t="n">
        <v>21</v>
      </c>
      <c r="M688" t="inlineStr">
        <is>
          <t>CHECKING IN: W01 Home Page</t>
        </is>
      </c>
      <c r="N688" t="inlineStr">
        <is>
          <t>On week 2, Day 4 (Wednesday) Send a message to students who scored less than 50% (15/30) on W01 Assignment: Student's Home Page. Ask Students if they have questions or concerns.</t>
        </is>
      </c>
    </row>
    <row r="689">
      <c r="A689" t="inlineStr">
        <is>
          <t>WDD130</t>
        </is>
      </c>
      <c r="B689" t="inlineStr">
        <is>
          <t>Low Performance</t>
        </is>
      </c>
      <c r="C689" t="inlineStr">
        <is>
          <t>W02 Assignment: Home Page Enhancement</t>
        </is>
      </c>
      <c r="D689" t="n">
        <v>3</v>
      </c>
      <c r="E689" t="n">
        <v>4</v>
      </c>
      <c r="F689" t="n">
        <v>30</v>
      </c>
      <c r="G689" t="n">
        <v>0.7</v>
      </c>
      <c r="H689" t="inlineStr">
        <is>
          <t>y</t>
        </is>
      </c>
      <c r="I689" s="87" t="n">
        <v>46218</v>
      </c>
      <c r="J689" s="87" t="n">
        <v>46221</v>
      </c>
      <c r="K689" s="87" t="n">
        <v>46222</v>
      </c>
      <c r="L689" t="n">
        <v>21</v>
      </c>
      <c r="M689" t="inlineStr">
        <is>
          <t xml:space="preserve">CHECKING IN: W02 Home Page Enhancment </t>
        </is>
      </c>
      <c r="N689" t="inlineStr">
        <is>
          <t>On week 3, Day 4 (Wednesday) Send a message to students who scored less than 50% (15/30) on their W02 Assignment: Home Page Enhancement. Ask Students if they have questions or concerns.</t>
        </is>
      </c>
    </row>
    <row r="690">
      <c r="A690" t="inlineStr">
        <is>
          <t>WDD130</t>
        </is>
      </c>
      <c r="B690" t="inlineStr">
        <is>
          <t>Low Performance</t>
        </is>
      </c>
      <c r="C690" t="inlineStr">
        <is>
          <t>W03 Assignment: Rafting Site - About Us Page</t>
        </is>
      </c>
      <c r="D690" t="n">
        <v>4</v>
      </c>
      <c r="E690" t="n">
        <v>4</v>
      </c>
      <c r="F690" t="n">
        <v>30</v>
      </c>
      <c r="G690" t="n">
        <v>0.7</v>
      </c>
      <c r="H690" t="inlineStr">
        <is>
          <t>y</t>
        </is>
      </c>
      <c r="I690" s="87" t="n">
        <v>46225</v>
      </c>
      <c r="J690" s="87" t="n">
        <v>46228</v>
      </c>
      <c r="K690" s="87" t="n">
        <v>46229</v>
      </c>
      <c r="L690" t="n">
        <v>21</v>
      </c>
      <c r="M690" t="inlineStr">
        <is>
          <t>CHECKING IN: W03 Rafting Site - About Us Page</t>
        </is>
      </c>
      <c r="N690" t="inlineStr">
        <is>
          <t>On week 4, Day 4 (Wednesday) Send a message to students who scored less than 50% (15/30 or less) on W03 Assignment: Student's Home Page. Ask Students if they have questions or concerns.</t>
        </is>
      </c>
    </row>
    <row r="691">
      <c r="A691" t="inlineStr">
        <is>
          <t>WDD130</t>
        </is>
      </c>
      <c r="B691" t="inlineStr">
        <is>
          <t>Low Performance</t>
        </is>
      </c>
      <c r="C691" t="inlineStr">
        <is>
          <t>W04 Assignment: Rafting Site - Update About Us Page</t>
        </is>
      </c>
      <c r="D691" t="n">
        <v>5</v>
      </c>
      <c r="E691" t="n">
        <v>4</v>
      </c>
      <c r="F691" t="n">
        <v>30</v>
      </c>
      <c r="G691" t="n">
        <v>0.7</v>
      </c>
      <c r="H691" t="inlineStr">
        <is>
          <t>y</t>
        </is>
      </c>
      <c r="I691" s="87" t="n">
        <v>46232</v>
      </c>
      <c r="J691" s="87" t="n">
        <v>46235</v>
      </c>
      <c r="K691" s="87" t="n">
        <v>46236</v>
      </c>
      <c r="L691" t="n">
        <v>21</v>
      </c>
      <c r="M691" t="inlineStr">
        <is>
          <t>CHECKING IN: W04 Rafting Site- Update About Us Page</t>
        </is>
      </c>
      <c r="N691" t="inlineStr">
        <is>
          <t>On week 5, Day 4 (Wednesday) Send a message to students who scored less than 85% (25/30 or less) on their W04 Assignment: Home Page Enhancement. Ask Students if they have questions or concerns.</t>
        </is>
      </c>
    </row>
    <row r="692">
      <c r="A692" t="inlineStr">
        <is>
          <t>WDD130</t>
        </is>
      </c>
      <c r="B692" t="inlineStr">
        <is>
          <t>Low Performance</t>
        </is>
      </c>
      <c r="C692" t="inlineStr">
        <is>
          <t>W05 Assignment: Rafting Site - Contact Us Page</t>
        </is>
      </c>
      <c r="D692" t="n">
        <v>6</v>
      </c>
      <c r="E692" t="n">
        <v>4</v>
      </c>
      <c r="F692" t="n">
        <v>30</v>
      </c>
      <c r="G692" t="n">
        <v>0.7</v>
      </c>
      <c r="H692" t="inlineStr">
        <is>
          <t>y</t>
        </is>
      </c>
      <c r="I692" s="87" t="n">
        <v>46239</v>
      </c>
      <c r="J692" s="87" t="n">
        <v>46242</v>
      </c>
      <c r="K692" s="87" t="n">
        <v>46243</v>
      </c>
      <c r="L692" t="n">
        <v>21</v>
      </c>
      <c r="M692" t="inlineStr">
        <is>
          <t>CHECKING IN: W05 Rafting Site - Contact Us Page</t>
        </is>
      </c>
      <c r="N692" t="inlineStr">
        <is>
          <t>On week 6, Day 4 (Wednesday) Send a message to students who scored less than 85% (25/30 or less) on W05 Assignment: Rafting Site - Contact Us Page. Ask Students if they have questions or concerns.</t>
        </is>
      </c>
    </row>
    <row r="693">
      <c r="A693" t="inlineStr">
        <is>
          <t>WDD131</t>
        </is>
      </c>
      <c r="B693" t="inlineStr">
        <is>
          <t>Grader-Issued 0</t>
        </is>
      </c>
      <c r="C693" t="inlineStr">
        <is>
          <t>W01 Assignment: Home Page</t>
        </is>
      </c>
      <c r="D693" t="n">
        <v>2</v>
      </c>
      <c r="E693" t="n">
        <v>4</v>
      </c>
      <c r="F693" t="n">
        <v>50</v>
      </c>
      <c r="H693" t="inlineStr">
        <is>
          <t>y</t>
        </is>
      </c>
      <c r="I693" s="87" t="n">
        <v>46211</v>
      </c>
      <c r="J693" s="87" t="n">
        <v>46214</v>
      </c>
      <c r="K693" s="87" t="n">
        <v>46215</v>
      </c>
      <c r="L693" t="n">
        <v>0</v>
      </c>
      <c r="M693" t="inlineStr">
        <is>
          <t>The student was given a Grader issued 0 on W01 Assignment: Home Page</t>
        </is>
      </c>
      <c r="N693" t="inlineStr">
        <is>
          <t>Grader issued 0 for W01 Assignment: Home Page Log into Canvas and see the grader comments. Work with the student to help resubmit.</t>
        </is>
      </c>
    </row>
    <row r="694">
      <c r="A694" t="inlineStr">
        <is>
          <t>WDD131</t>
        </is>
      </c>
      <c r="B694" t="inlineStr">
        <is>
          <t>Grader-Issued 0</t>
        </is>
      </c>
      <c r="C694" t="inlineStr">
        <is>
          <t>W02 Assignment: Picture Album</t>
        </is>
      </c>
      <c r="D694" t="n">
        <v>3</v>
      </c>
      <c r="E694" t="n">
        <v>4</v>
      </c>
      <c r="F694" t="n">
        <v>50</v>
      </c>
      <c r="H694" t="inlineStr">
        <is>
          <t>y</t>
        </is>
      </c>
      <c r="I694" s="87" t="n">
        <v>46218</v>
      </c>
      <c r="J694" s="87" t="n">
        <v>46221</v>
      </c>
      <c r="K694" s="87" t="n">
        <v>46222</v>
      </c>
      <c r="L694" t="n">
        <v>0</v>
      </c>
      <c r="M694" t="inlineStr">
        <is>
          <t>The student was given a Grader issued 0 on W02 Assignment: Picture Album</t>
        </is>
      </c>
      <c r="N694" t="inlineStr">
        <is>
          <t>Grader issued 0 for W02 Assignment: Picture Album. Log into Canvas and see the grader comments. Work with the student to help resubmit.</t>
        </is>
      </c>
    </row>
    <row r="695">
      <c r="A695" t="inlineStr">
        <is>
          <t>WDD131</t>
        </is>
      </c>
      <c r="B695" t="inlineStr">
        <is>
          <t>Grader-Issued 0</t>
        </is>
      </c>
      <c r="C695" t="inlineStr">
        <is>
          <t>W03 Assignment: Country Page</t>
        </is>
      </c>
      <c r="D695" t="n">
        <v>4</v>
      </c>
      <c r="E695" t="n">
        <v>4</v>
      </c>
      <c r="F695" t="n">
        <v>50</v>
      </c>
      <c r="H695" t="inlineStr">
        <is>
          <t>y</t>
        </is>
      </c>
      <c r="I695" s="87" t="n">
        <v>46225</v>
      </c>
      <c r="J695" s="87" t="n">
        <v>46228</v>
      </c>
      <c r="K695" s="87" t="n">
        <v>46229</v>
      </c>
      <c r="L695" t="n">
        <v>0</v>
      </c>
      <c r="M695" t="inlineStr">
        <is>
          <t>The student was given a Grader issued 0 on W03 Assignment: Country Page</t>
        </is>
      </c>
      <c r="N695" t="inlineStr">
        <is>
          <t>Grader issued 0 for W03 Assignment: Country Page Log into Canvas and see the grader comments. Work with the student to help resubmit.</t>
        </is>
      </c>
    </row>
    <row r="696">
      <c r="A696" t="inlineStr">
        <is>
          <t>WDD131</t>
        </is>
      </c>
      <c r="B696" t="inlineStr">
        <is>
          <t>Grader-Issued 0</t>
        </is>
      </c>
      <c r="C696" t="inlineStr">
        <is>
          <t>W04 Assignment: Picture Album Enhancement</t>
        </is>
      </c>
      <c r="D696" t="n">
        <v>5</v>
      </c>
      <c r="E696" t="n">
        <v>4</v>
      </c>
      <c r="F696" t="n">
        <v>50</v>
      </c>
      <c r="H696" t="inlineStr">
        <is>
          <t>y</t>
        </is>
      </c>
      <c r="I696" s="87" t="n">
        <v>46232</v>
      </c>
      <c r="J696" s="87" t="n">
        <v>46235</v>
      </c>
      <c r="K696" s="87" t="n">
        <v>46236</v>
      </c>
      <c r="L696" t="n">
        <v>0</v>
      </c>
      <c r="M696" t="inlineStr">
        <is>
          <t>The student was given a Grader issued 0 on W04 Assignment: Picture Album Enhancement</t>
        </is>
      </c>
      <c r="N696" t="inlineStr">
        <is>
          <t>Grader issued 0 for W04 Assignment: Picture Album Enhancement. Log into Canvas and see the grader comments. Work with the student to help resubmit.</t>
        </is>
      </c>
    </row>
    <row r="697">
      <c r="A697" t="inlineStr">
        <is>
          <t>WDD131</t>
        </is>
      </c>
      <c r="B697" t="inlineStr">
        <is>
          <t>Grader-Issued 0</t>
        </is>
      </c>
      <c r="C697" t="inlineStr">
        <is>
          <t>W05 Assignment: Product Review Form</t>
        </is>
      </c>
      <c r="D697" t="n">
        <v>6</v>
      </c>
      <c r="E697" t="n">
        <v>4</v>
      </c>
      <c r="F697" t="n">
        <v>50</v>
      </c>
      <c r="H697" t="inlineStr">
        <is>
          <t>y</t>
        </is>
      </c>
      <c r="I697" s="87" t="n">
        <v>46239</v>
      </c>
      <c r="J697" s="87" t="n">
        <v>46242</v>
      </c>
      <c r="K697" s="87" t="n">
        <v>46243</v>
      </c>
      <c r="L697" t="n">
        <v>0</v>
      </c>
      <c r="M697" t="inlineStr">
        <is>
          <t>The student was given a Grader issued 0 on W05 Assignment: Product Review Form</t>
        </is>
      </c>
      <c r="N697" t="inlineStr">
        <is>
          <t>Grader issued 0 for W05 Assignment: Product Review Form Log into Canvas and see the grader comments. Work with the student to help resubmit.</t>
        </is>
      </c>
    </row>
    <row r="698">
      <c r="A698" t="inlineStr">
        <is>
          <t>WDD131</t>
        </is>
      </c>
      <c r="B698" t="inlineStr">
        <is>
          <t>High Performance</t>
        </is>
      </c>
      <c r="C698" t="inlineStr">
        <is>
          <t>W01 Assignment: Home Page</t>
        </is>
      </c>
      <c r="D698" t="n">
        <v>2</v>
      </c>
      <c r="E698" t="n">
        <v>5</v>
      </c>
      <c r="F698" t="n">
        <v>50</v>
      </c>
      <c r="G698" t="n">
        <v>0.9</v>
      </c>
      <c r="H698" t="inlineStr">
        <is>
          <t>y</t>
        </is>
      </c>
      <c r="I698" s="87" t="n">
        <v>46212</v>
      </c>
      <c r="J698" s="87" t="n">
        <v>46215</v>
      </c>
      <c r="K698" s="87" t="n">
        <v>46215</v>
      </c>
      <c r="L698" t="n">
        <v>45</v>
      </c>
      <c r="M698" t="inlineStr">
        <is>
          <t>High Performance: W01 Assignment: Home Page</t>
        </is>
      </c>
      <c r="N698" t="inlineStr">
        <is>
          <t>Provide Positive Feedback on W01 Assignment: Home Page</t>
        </is>
      </c>
    </row>
    <row r="699">
      <c r="A699" t="inlineStr">
        <is>
          <t>WDD131</t>
        </is>
      </c>
      <c r="B699" t="inlineStr">
        <is>
          <t>High Performance</t>
        </is>
      </c>
      <c r="C699" t="inlineStr">
        <is>
          <t>W02 Assignment: Picture Album</t>
        </is>
      </c>
      <c r="D699" t="n">
        <v>3</v>
      </c>
      <c r="E699" t="n">
        <v>5</v>
      </c>
      <c r="F699" t="n">
        <v>50</v>
      </c>
      <c r="G699" t="n">
        <v>0.9</v>
      </c>
      <c r="H699" t="inlineStr">
        <is>
          <t>y</t>
        </is>
      </c>
      <c r="I699" s="87" t="n">
        <v>46219</v>
      </c>
      <c r="J699" s="87" t="n">
        <v>46222</v>
      </c>
      <c r="K699" s="87" t="n">
        <v>46222</v>
      </c>
      <c r="L699" t="n">
        <v>45</v>
      </c>
      <c r="M699" t="inlineStr">
        <is>
          <t>High Performance: W02 Assignment: Picture Album</t>
        </is>
      </c>
      <c r="N699" t="inlineStr">
        <is>
          <t>Provide Positive Feedback on W02 Assignment: Picture Album</t>
        </is>
      </c>
    </row>
    <row r="700">
      <c r="A700" t="inlineStr">
        <is>
          <t>WDD131</t>
        </is>
      </c>
      <c r="B700" t="inlineStr">
        <is>
          <t>High Performance</t>
        </is>
      </c>
      <c r="C700" t="inlineStr">
        <is>
          <t>W03 Assignment: Country Page</t>
        </is>
      </c>
      <c r="D700" t="n">
        <v>4</v>
      </c>
      <c r="E700" t="n">
        <v>5</v>
      </c>
      <c r="F700" t="n">
        <v>50</v>
      </c>
      <c r="G700" t="n">
        <v>0.9</v>
      </c>
      <c r="H700" t="inlineStr">
        <is>
          <t>y</t>
        </is>
      </c>
      <c r="I700" s="87" t="n">
        <v>46226</v>
      </c>
      <c r="J700" s="87" t="n">
        <v>46229</v>
      </c>
      <c r="K700" s="87" t="n">
        <v>46229</v>
      </c>
      <c r="L700" t="n">
        <v>45</v>
      </c>
      <c r="M700" t="inlineStr">
        <is>
          <t>High Performance: W03 Assignment: Country Page</t>
        </is>
      </c>
      <c r="N700" t="inlineStr">
        <is>
          <t>Provide Positive Feedback on W03 Assignment: Country Page</t>
        </is>
      </c>
    </row>
    <row r="701">
      <c r="A701" t="inlineStr">
        <is>
          <t>WDD131</t>
        </is>
      </c>
      <c r="B701" t="inlineStr">
        <is>
          <t>High Performance</t>
        </is>
      </c>
      <c r="C701" t="inlineStr">
        <is>
          <t>W04 Assignment: Picture Album Enhancement</t>
        </is>
      </c>
      <c r="D701" t="n">
        <v>5</v>
      </c>
      <c r="E701" t="n">
        <v>5</v>
      </c>
      <c r="F701" t="n">
        <v>50</v>
      </c>
      <c r="G701" t="n">
        <v>0.9</v>
      </c>
      <c r="H701" t="inlineStr">
        <is>
          <t>y</t>
        </is>
      </c>
      <c r="I701" s="87" t="n">
        <v>46233</v>
      </c>
      <c r="J701" s="87" t="n">
        <v>46236</v>
      </c>
      <c r="K701" s="87" t="n">
        <v>46236</v>
      </c>
      <c r="L701" t="n">
        <v>45</v>
      </c>
      <c r="M701" t="inlineStr">
        <is>
          <t>High Performance: W04 Assignment: Picture Album Enhancement</t>
        </is>
      </c>
      <c r="N701" t="inlineStr">
        <is>
          <t>Provide Positive Feedback on W04 Assignment: Picture Album Enhancement</t>
        </is>
      </c>
    </row>
    <row r="702">
      <c r="A702" t="inlineStr">
        <is>
          <t>WDD131</t>
        </is>
      </c>
      <c r="B702" t="inlineStr">
        <is>
          <t>High Performance</t>
        </is>
      </c>
      <c r="C702" t="inlineStr">
        <is>
          <t>W05 Assignment: Product Review Form</t>
        </is>
      </c>
      <c r="D702" t="n">
        <v>6</v>
      </c>
      <c r="E702" t="n">
        <v>5</v>
      </c>
      <c r="F702" t="n">
        <v>50</v>
      </c>
      <c r="G702" t="n">
        <v>0.9</v>
      </c>
      <c r="H702" t="inlineStr">
        <is>
          <t>y</t>
        </is>
      </c>
      <c r="I702" s="87" t="n">
        <v>46240</v>
      </c>
      <c r="J702" s="87" t="n">
        <v>46243</v>
      </c>
      <c r="K702" s="87" t="n">
        <v>46243</v>
      </c>
      <c r="L702" t="n">
        <v>45</v>
      </c>
      <c r="M702" t="inlineStr">
        <is>
          <t>High Performance: W05 Assignment: Product Review Form</t>
        </is>
      </c>
      <c r="N702" t="inlineStr">
        <is>
          <t>Provide Positive Feedback on W05 Assignment: Product Review Form</t>
        </is>
      </c>
    </row>
    <row r="703">
      <c r="A703" t="inlineStr">
        <is>
          <t>WDD131</t>
        </is>
      </c>
      <c r="B703" t="inlineStr">
        <is>
          <t>Low Performance</t>
        </is>
      </c>
      <c r="C703" t="inlineStr">
        <is>
          <t>W01 Assignment: Home Page</t>
        </is>
      </c>
      <c r="D703" t="n">
        <v>2</v>
      </c>
      <c r="E703" t="n">
        <v>5</v>
      </c>
      <c r="F703" t="n">
        <v>50</v>
      </c>
      <c r="G703" t="n">
        <v>0.7</v>
      </c>
      <c r="H703" t="inlineStr">
        <is>
          <t>y</t>
        </is>
      </c>
      <c r="I703" s="87" t="n">
        <v>46212</v>
      </c>
      <c r="J703" s="87" t="n">
        <v>46215</v>
      </c>
      <c r="K703" s="87" t="n">
        <v>46215</v>
      </c>
      <c r="L703" t="n">
        <v>35</v>
      </c>
      <c r="M703" t="inlineStr">
        <is>
          <t>Low Performance: W01 Assignment: Home Page</t>
        </is>
      </c>
      <c r="N703" t="inlineStr">
        <is>
          <t xml:space="preserve">At Risk. Student scored below 70% on W01 Assignment: Home Page. Check in to see how you can help. </t>
        </is>
      </c>
    </row>
    <row r="704">
      <c r="A704" t="inlineStr">
        <is>
          <t>WDD131</t>
        </is>
      </c>
      <c r="B704" t="inlineStr">
        <is>
          <t>Low Performance</t>
        </is>
      </c>
      <c r="C704" t="inlineStr">
        <is>
          <t>W02 Assignment: Picture Album</t>
        </is>
      </c>
      <c r="D704" t="n">
        <v>3</v>
      </c>
      <c r="E704" t="n">
        <v>5</v>
      </c>
      <c r="F704" t="n">
        <v>50</v>
      </c>
      <c r="G704" t="n">
        <v>0.7</v>
      </c>
      <c r="H704" t="inlineStr">
        <is>
          <t>y</t>
        </is>
      </c>
      <c r="I704" s="87" t="n">
        <v>46219</v>
      </c>
      <c r="J704" s="87" t="n">
        <v>46222</v>
      </c>
      <c r="K704" s="87" t="n">
        <v>46222</v>
      </c>
      <c r="L704" t="n">
        <v>35</v>
      </c>
      <c r="M704" t="inlineStr">
        <is>
          <t>Low Performance: W02 Assignment: Picture Album</t>
        </is>
      </c>
      <c r="N704" t="inlineStr">
        <is>
          <t xml:space="preserve">At Risk. Student scored below 70% on W02 Assignment: Picture Album. Check in to see how you can help. </t>
        </is>
      </c>
    </row>
    <row r="705">
      <c r="A705" t="inlineStr">
        <is>
          <t>WDD131</t>
        </is>
      </c>
      <c r="B705" t="inlineStr">
        <is>
          <t>Low Performance</t>
        </is>
      </c>
      <c r="C705" t="inlineStr">
        <is>
          <t>W03 Assignment: Country Page</t>
        </is>
      </c>
      <c r="D705" t="n">
        <v>4</v>
      </c>
      <c r="E705" t="n">
        <v>5</v>
      </c>
      <c r="F705" t="n">
        <v>50</v>
      </c>
      <c r="G705" t="n">
        <v>0.7</v>
      </c>
      <c r="H705" t="inlineStr">
        <is>
          <t>y</t>
        </is>
      </c>
      <c r="I705" s="87" t="n">
        <v>46226</v>
      </c>
      <c r="J705" s="87" t="n">
        <v>46229</v>
      </c>
      <c r="K705" s="87" t="n">
        <v>46229</v>
      </c>
      <c r="L705" t="n">
        <v>35</v>
      </c>
      <c r="M705" t="inlineStr">
        <is>
          <t>Low Performance: W03 Assignment: Country Page</t>
        </is>
      </c>
      <c r="N705" t="inlineStr">
        <is>
          <t xml:space="preserve">At Risk. Student scored below 70% on W03 Assignment: Country Page. Check in to see how you can help. </t>
        </is>
      </c>
    </row>
    <row r="706">
      <c r="A706" t="inlineStr">
        <is>
          <t>WDD131</t>
        </is>
      </c>
      <c r="B706" t="inlineStr">
        <is>
          <t>Low Performance</t>
        </is>
      </c>
      <c r="C706" t="inlineStr">
        <is>
          <t>W04 Assignment: Picture Album Enhancement</t>
        </is>
      </c>
      <c r="D706" t="n">
        <v>5</v>
      </c>
      <c r="E706" t="n">
        <v>5</v>
      </c>
      <c r="F706" t="n">
        <v>50</v>
      </c>
      <c r="G706" t="n">
        <v>0.7</v>
      </c>
      <c r="H706" t="inlineStr">
        <is>
          <t>y</t>
        </is>
      </c>
      <c r="I706" s="87" t="n">
        <v>46233</v>
      </c>
      <c r="J706" s="87" t="n">
        <v>46236</v>
      </c>
      <c r="K706" s="87" t="n">
        <v>46236</v>
      </c>
      <c r="L706" t="n">
        <v>35</v>
      </c>
      <c r="M706" t="inlineStr">
        <is>
          <t>Low Performance: W04 Assignment: Picture Album Enhancement</t>
        </is>
      </c>
      <c r="N706" t="inlineStr">
        <is>
          <t xml:space="preserve">At Risk. Student scored below 70% on W04 Assignment: Picture Album Enhancement. Check in to see how you can help. </t>
        </is>
      </c>
    </row>
    <row r="707">
      <c r="A707" t="inlineStr">
        <is>
          <t>WDD131</t>
        </is>
      </c>
      <c r="B707" t="inlineStr">
        <is>
          <t>Low Performance</t>
        </is>
      </c>
      <c r="C707" t="inlineStr">
        <is>
          <t>W05 Assignment: Product Review Form</t>
        </is>
      </c>
      <c r="D707" t="n">
        <v>6</v>
      </c>
      <c r="E707" t="n">
        <v>5</v>
      </c>
      <c r="F707" t="n">
        <v>50</v>
      </c>
      <c r="G707" t="n">
        <v>0.7</v>
      </c>
      <c r="H707" t="inlineStr">
        <is>
          <t>y</t>
        </is>
      </c>
      <c r="I707" s="87" t="n">
        <v>46240</v>
      </c>
      <c r="J707" s="87" t="n">
        <v>46243</v>
      </c>
      <c r="K707" s="87" t="n">
        <v>46243</v>
      </c>
      <c r="L707" t="n">
        <v>35</v>
      </c>
      <c r="M707" t="inlineStr">
        <is>
          <t>Low Performance: W05 Assignment: Product Review Form</t>
        </is>
      </c>
      <c r="N707" t="inlineStr">
        <is>
          <t xml:space="preserve">At Risk. Student scored below 70% on W05 Assignment: Product Review Form. Check in to see how you can help. </t>
        </is>
      </c>
    </row>
    <row r="708">
      <c r="A708" t="inlineStr">
        <is>
          <t>WDD131</t>
        </is>
      </c>
      <c r="B708" t="inlineStr">
        <is>
          <t>Missing Assignment</t>
        </is>
      </c>
      <c r="C708" t="inlineStr">
        <is>
          <t>W01 Assignment: Home Page</t>
        </is>
      </c>
      <c r="D708" t="n">
        <v>2</v>
      </c>
      <c r="E708" t="n">
        <v>2</v>
      </c>
      <c r="G708" t="inlineStr">
        <is>
          <t xml:space="preserve"> </t>
        </is>
      </c>
      <c r="H708" t="inlineStr">
        <is>
          <t>y</t>
        </is>
      </c>
      <c r="I708" s="87" t="n">
        <v>46209</v>
      </c>
      <c r="J708" s="87" t="n">
        <v>46212</v>
      </c>
      <c r="K708" s="87" t="n">
        <v>46215</v>
      </c>
      <c r="L708" t="e">
        <v>#VALUE!</v>
      </c>
      <c r="M708" t="inlineStr">
        <is>
          <t>Missing Assignment:W01 Assignment: Home Page</t>
        </is>
      </c>
      <c r="N708" t="inlineStr">
        <is>
          <t>Check in with student missing</t>
        </is>
      </c>
    </row>
    <row r="709">
      <c r="A709" t="inlineStr">
        <is>
          <t>WDD131</t>
        </is>
      </c>
      <c r="B709" t="inlineStr">
        <is>
          <t>Missing Assignment</t>
        </is>
      </c>
      <c r="C709" t="inlineStr">
        <is>
          <t>W02 Assignment: Picture Album</t>
        </is>
      </c>
      <c r="D709" t="n">
        <v>3</v>
      </c>
      <c r="E709" t="n">
        <v>2</v>
      </c>
      <c r="H709" t="inlineStr">
        <is>
          <t>y</t>
        </is>
      </c>
      <c r="I709" s="87" t="n">
        <v>46216</v>
      </c>
      <c r="J709" s="87" t="n">
        <v>46219</v>
      </c>
      <c r="K709" s="87" t="n">
        <v>46222</v>
      </c>
      <c r="L709" t="n">
        <v>0</v>
      </c>
      <c r="M709" t="inlineStr">
        <is>
          <t>Missing Assignment: W02 Assignment: Picture Album</t>
        </is>
      </c>
      <c r="N709" t="inlineStr">
        <is>
          <t>Check in with student missing W02 Assignment: Picture Album</t>
        </is>
      </c>
    </row>
    <row r="710">
      <c r="A710" t="inlineStr">
        <is>
          <t>WDD131</t>
        </is>
      </c>
      <c r="B710" t="inlineStr">
        <is>
          <t>Missing Assignment</t>
        </is>
      </c>
      <c r="C710" t="inlineStr">
        <is>
          <t>W03 Assignment: Country Page</t>
        </is>
      </c>
      <c r="D710" t="n">
        <v>4</v>
      </c>
      <c r="E710" t="n">
        <v>2</v>
      </c>
      <c r="H710" t="inlineStr">
        <is>
          <t>y</t>
        </is>
      </c>
      <c r="I710" s="87" t="n">
        <v>46223</v>
      </c>
      <c r="J710" s="87" t="n">
        <v>46226</v>
      </c>
      <c r="K710" s="87" t="n">
        <v>46229</v>
      </c>
      <c r="L710" t="n">
        <v>0</v>
      </c>
      <c r="M710" t="inlineStr">
        <is>
          <t>Missing Assignment: W03 Assignment: Country Page</t>
        </is>
      </c>
      <c r="N710" t="inlineStr">
        <is>
          <t>Check in with student missing W03 Assignment: Country Page</t>
        </is>
      </c>
    </row>
    <row r="711">
      <c r="A711" t="inlineStr">
        <is>
          <t>WDD131</t>
        </is>
      </c>
      <c r="B711" t="inlineStr">
        <is>
          <t>Missing Assignment</t>
        </is>
      </c>
      <c r="C711" t="inlineStr">
        <is>
          <t>W04 Assignment: Picture Album Enhancement</t>
        </is>
      </c>
      <c r="D711" t="n">
        <v>5</v>
      </c>
      <c r="E711" t="n">
        <v>2</v>
      </c>
      <c r="H711" t="inlineStr">
        <is>
          <t>y</t>
        </is>
      </c>
      <c r="I711" s="87" t="n">
        <v>46230</v>
      </c>
      <c r="J711" s="87" t="n">
        <v>46233</v>
      </c>
      <c r="K711" s="87" t="n">
        <v>46236</v>
      </c>
      <c r="L711" t="n">
        <v>0</v>
      </c>
      <c r="M711" t="inlineStr">
        <is>
          <t>Missing Assignment: W04 Assignment: Picture Album Enhancement</t>
        </is>
      </c>
      <c r="N711" t="inlineStr">
        <is>
          <t>Check in with student missing W04 Assignment: Picture Album Enhancement</t>
        </is>
      </c>
    </row>
    <row r="712">
      <c r="A712" t="inlineStr">
        <is>
          <t>WDD131</t>
        </is>
      </c>
      <c r="B712" t="inlineStr">
        <is>
          <t>Missing Assignment</t>
        </is>
      </c>
      <c r="C712" t="inlineStr">
        <is>
          <t>W05 Assignment: Product Review Form</t>
        </is>
      </c>
      <c r="D712" t="n">
        <v>6</v>
      </c>
      <c r="E712" t="n">
        <v>2</v>
      </c>
      <c r="H712" t="inlineStr">
        <is>
          <t>y</t>
        </is>
      </c>
      <c r="I712" s="87" t="n">
        <v>46237</v>
      </c>
      <c r="J712" s="87" t="n">
        <v>46240</v>
      </c>
      <c r="K712" s="87" t="n">
        <v>46243</v>
      </c>
      <c r="L712" t="n">
        <v>0</v>
      </c>
      <c r="M712" t="inlineStr">
        <is>
          <t>Missing Assignment: W05 Assignment: Product Review Form</t>
        </is>
      </c>
      <c r="N712" t="inlineStr">
        <is>
          <t>Check in with student missing W05 Assignment: Product Review Form</t>
        </is>
      </c>
    </row>
    <row r="713">
      <c r="A713" t="inlineStr">
        <is>
          <t>WDD231</t>
        </is>
      </c>
      <c r="B713" t="inlineStr">
        <is>
          <t>High Performance</t>
        </is>
      </c>
      <c r="C713" t="inlineStr">
        <is>
          <t>W01 Assignment: Course Home Page</t>
        </is>
      </c>
      <c r="D713" t="n">
        <v>2</v>
      </c>
      <c r="E713" t="n">
        <v>5</v>
      </c>
      <c r="F713" t="n">
        <v>30</v>
      </c>
      <c r="G713" t="n">
        <v>0.8</v>
      </c>
      <c r="H713" t="inlineStr">
        <is>
          <t>y</t>
        </is>
      </c>
      <c r="I713" s="87" t="n">
        <v>46212</v>
      </c>
      <c r="J713" s="87" t="n">
        <v>46215</v>
      </c>
      <c r="K713" s="87" t="n">
        <v>46215</v>
      </c>
      <c r="L713" t="n">
        <v>24</v>
      </c>
      <c r="M713" t="inlineStr">
        <is>
          <t>Scored More Than: W01 Assignment: Course Home Page</t>
        </is>
      </c>
      <c r="N713" t="inlineStr">
        <is>
          <t>Positive Feedback: W01 Assignment</t>
        </is>
      </c>
    </row>
    <row r="714">
      <c r="A714" t="inlineStr">
        <is>
          <t>WDD231</t>
        </is>
      </c>
      <c r="B714" t="inlineStr">
        <is>
          <t>High Performance</t>
        </is>
      </c>
      <c r="C714" t="inlineStr">
        <is>
          <t>W02 Assignment Chamber Directory Page</t>
        </is>
      </c>
      <c r="D714" t="n">
        <v>3</v>
      </c>
      <c r="E714" t="n">
        <v>5</v>
      </c>
      <c r="F714" t="n">
        <v>30</v>
      </c>
      <c r="G714" t="n">
        <v>0.8</v>
      </c>
      <c r="H714" t="inlineStr">
        <is>
          <t>y</t>
        </is>
      </c>
      <c r="I714" s="87" t="n">
        <v>46219</v>
      </c>
      <c r="J714" s="87" t="n">
        <v>46222</v>
      </c>
      <c r="K714" s="87" t="n">
        <v>46222</v>
      </c>
      <c r="L714" t="n">
        <v>24</v>
      </c>
      <c r="M714" t="inlineStr">
        <is>
          <t>Scored More Than: W02 Assignment Chamber Directory Page</t>
        </is>
      </c>
      <c r="N714" t="inlineStr">
        <is>
          <t xml:space="preserve">Positive Feedback: W02 Assignment </t>
        </is>
      </c>
    </row>
    <row r="715">
      <c r="A715" t="inlineStr">
        <is>
          <t>WDD231</t>
        </is>
      </c>
      <c r="B715" t="inlineStr">
        <is>
          <t>High Performance</t>
        </is>
      </c>
      <c r="C715" t="inlineStr">
        <is>
          <t>W03 Assignment: Chamber Home Page</t>
        </is>
      </c>
      <c r="D715" t="n">
        <v>4</v>
      </c>
      <c r="E715" t="n">
        <v>5</v>
      </c>
      <c r="F715" t="n">
        <v>30</v>
      </c>
      <c r="G715" t="n">
        <v>0.8</v>
      </c>
      <c r="H715" t="inlineStr">
        <is>
          <t>y</t>
        </is>
      </c>
      <c r="I715" s="87" t="n">
        <v>46226</v>
      </c>
      <c r="J715" s="87" t="n">
        <v>46229</v>
      </c>
      <c r="K715" s="87" t="n">
        <v>46229</v>
      </c>
      <c r="L715" t="n">
        <v>24</v>
      </c>
      <c r="M715" t="inlineStr">
        <is>
          <t>Scored More Than: W03 Assignment: Chamber Home Page</t>
        </is>
      </c>
      <c r="N715" t="inlineStr">
        <is>
          <t>Positive Feedback: W03 Assignment</t>
        </is>
      </c>
    </row>
    <row r="716">
      <c r="A716" t="inlineStr">
        <is>
          <t>WDD231</t>
        </is>
      </c>
      <c r="B716" t="inlineStr">
        <is>
          <t>High Performance</t>
        </is>
      </c>
      <c r="C716" t="inlineStr">
        <is>
          <t>W04 Assignment: Chamber Join Page</t>
        </is>
      </c>
      <c r="D716" t="n">
        <v>5</v>
      </c>
      <c r="E716" t="n">
        <v>5</v>
      </c>
      <c r="F716" t="n">
        <v>30</v>
      </c>
      <c r="G716" t="n">
        <v>0.8</v>
      </c>
      <c r="H716" t="inlineStr">
        <is>
          <t>y</t>
        </is>
      </c>
      <c r="I716" s="87" t="n">
        <v>46233</v>
      </c>
      <c r="J716" s="87" t="n">
        <v>46236</v>
      </c>
      <c r="K716" s="87" t="n">
        <v>46236</v>
      </c>
      <c r="L716" t="n">
        <v>24</v>
      </c>
      <c r="M716" t="inlineStr">
        <is>
          <t>Scored More Than: W04 Assignment: Chamber Join Page</t>
        </is>
      </c>
      <c r="N716" t="inlineStr">
        <is>
          <t>Positive Feedback: W04 Assignment</t>
        </is>
      </c>
    </row>
    <row r="717">
      <c r="A717" t="inlineStr">
        <is>
          <t>WDD231</t>
        </is>
      </c>
      <c r="B717" t="inlineStr">
        <is>
          <t>High Performance</t>
        </is>
      </c>
      <c r="C717" t="inlineStr">
        <is>
          <t>W05 Assignment: Chamber Discover Page</t>
        </is>
      </c>
      <c r="D717" t="n">
        <v>6</v>
      </c>
      <c r="E717" t="n">
        <v>5</v>
      </c>
      <c r="F717" t="n">
        <v>30</v>
      </c>
      <c r="G717" t="n">
        <v>0.8</v>
      </c>
      <c r="H717" t="inlineStr">
        <is>
          <t>y</t>
        </is>
      </c>
      <c r="I717" s="87" t="n">
        <v>46240</v>
      </c>
      <c r="J717" s="87" t="n">
        <v>46243</v>
      </c>
      <c r="K717" s="87" t="n">
        <v>46243</v>
      </c>
      <c r="L717" t="n">
        <v>24</v>
      </c>
      <c r="M717" t="inlineStr">
        <is>
          <t>Scored More Than: W05 Assignment: Chamber Discover Page</t>
        </is>
      </c>
      <c r="N717" t="inlineStr">
        <is>
          <t>Positive Feedback: W05 Assignment</t>
        </is>
      </c>
    </row>
    <row r="718">
      <c r="A718" t="inlineStr">
        <is>
          <t>WDD231</t>
        </is>
      </c>
      <c r="B718" t="inlineStr">
        <is>
          <t>Low Performance</t>
        </is>
      </c>
      <c r="C718" t="inlineStr">
        <is>
          <t>W01 Assignment: Course Home Page</t>
        </is>
      </c>
      <c r="D718" t="n">
        <v>2</v>
      </c>
      <c r="E718" t="n">
        <v>5</v>
      </c>
      <c r="F718" t="n">
        <v>30</v>
      </c>
      <c r="G718" t="n">
        <v>0.5</v>
      </c>
      <c r="H718" t="inlineStr">
        <is>
          <t>y</t>
        </is>
      </c>
      <c r="I718" s="87" t="n">
        <v>46212</v>
      </c>
      <c r="J718" s="87" t="n">
        <v>46215</v>
      </c>
      <c r="K718" s="87" t="n">
        <v>46215</v>
      </c>
      <c r="L718" t="n">
        <v>15</v>
      </c>
      <c r="M718" t="inlineStr">
        <is>
          <t>Scored Less Than: W01 Assignment: Course Home Page</t>
        </is>
      </c>
      <c r="N718" t="inlineStr">
        <is>
          <t>Concerned Feedback: W01 Assignment</t>
        </is>
      </c>
    </row>
    <row r="719">
      <c r="A719" t="inlineStr">
        <is>
          <t>WDD231</t>
        </is>
      </c>
      <c r="B719" t="inlineStr">
        <is>
          <t>Low Performance</t>
        </is>
      </c>
      <c r="C719" t="inlineStr">
        <is>
          <t>W02 Assignment Chamber Directory Page</t>
        </is>
      </c>
      <c r="D719" t="n">
        <v>3</v>
      </c>
      <c r="E719" t="n">
        <v>5</v>
      </c>
      <c r="F719" t="n">
        <v>30</v>
      </c>
      <c r="G719" t="n">
        <v>0.5</v>
      </c>
      <c r="H719" t="inlineStr">
        <is>
          <t>y</t>
        </is>
      </c>
      <c r="I719" s="87" t="n">
        <v>46219</v>
      </c>
      <c r="J719" s="87" t="n">
        <v>46222</v>
      </c>
      <c r="K719" s="87" t="n">
        <v>46222</v>
      </c>
      <c r="L719" t="n">
        <v>15</v>
      </c>
      <c r="M719" t="inlineStr">
        <is>
          <t>Scored Less Than: W02 Assignment Chamber Directory Page</t>
        </is>
      </c>
      <c r="N719" t="inlineStr">
        <is>
          <t xml:space="preserve">Concerned Feedback: W02 Assignment </t>
        </is>
      </c>
    </row>
    <row r="720">
      <c r="A720" t="inlineStr">
        <is>
          <t>WDD231</t>
        </is>
      </c>
      <c r="B720" t="inlineStr">
        <is>
          <t>Low Performance</t>
        </is>
      </c>
      <c r="C720" t="inlineStr">
        <is>
          <t>W03 Assignment: Chamber Home Page</t>
        </is>
      </c>
      <c r="D720" t="n">
        <v>4</v>
      </c>
      <c r="E720" t="n">
        <v>5</v>
      </c>
      <c r="F720" t="n">
        <v>30</v>
      </c>
      <c r="G720" t="n">
        <v>0.5</v>
      </c>
      <c r="H720" t="inlineStr">
        <is>
          <t>y</t>
        </is>
      </c>
      <c r="I720" s="87" t="n">
        <v>46226</v>
      </c>
      <c r="J720" s="87" t="n">
        <v>46229</v>
      </c>
      <c r="K720" s="87" t="n">
        <v>46229</v>
      </c>
      <c r="L720" t="n">
        <v>15</v>
      </c>
      <c r="M720" t="inlineStr">
        <is>
          <t>Scored Less Than: W03 Assignment: Chamber Home Page</t>
        </is>
      </c>
      <c r="N720" t="inlineStr">
        <is>
          <t>Concerned Feedback: W03 Assignment</t>
        </is>
      </c>
    </row>
    <row r="721">
      <c r="A721" t="inlineStr">
        <is>
          <t>WDD231</t>
        </is>
      </c>
      <c r="B721" t="inlineStr">
        <is>
          <t>Low Performance</t>
        </is>
      </c>
      <c r="C721" t="inlineStr">
        <is>
          <t>W04 Assignment: Chamber Join Page</t>
        </is>
      </c>
      <c r="D721" t="n">
        <v>5</v>
      </c>
      <c r="E721" t="n">
        <v>5</v>
      </c>
      <c r="F721" t="n">
        <v>30</v>
      </c>
      <c r="G721" t="n">
        <v>0.5</v>
      </c>
      <c r="H721" t="inlineStr">
        <is>
          <t>y</t>
        </is>
      </c>
      <c r="I721" s="87" t="n">
        <v>46233</v>
      </c>
      <c r="J721" s="87" t="n">
        <v>46236</v>
      </c>
      <c r="K721" s="87" t="n">
        <v>46236</v>
      </c>
      <c r="L721" t="n">
        <v>15</v>
      </c>
      <c r="M721" t="inlineStr">
        <is>
          <t>Scored Less Than: W04 Assignment: Chamber Join Page</t>
        </is>
      </c>
      <c r="N721" t="inlineStr">
        <is>
          <t>Concerned Feedback: W04 Assignment</t>
        </is>
      </c>
    </row>
    <row r="722">
      <c r="A722" t="inlineStr">
        <is>
          <t>WDD231</t>
        </is>
      </c>
      <c r="B722" t="inlineStr">
        <is>
          <t>Low Performance</t>
        </is>
      </c>
      <c r="C722" t="inlineStr">
        <is>
          <t>W05 Assignment: Chamber Discover Page</t>
        </is>
      </c>
      <c r="D722" t="n">
        <v>6</v>
      </c>
      <c r="E722" t="n">
        <v>5</v>
      </c>
      <c r="F722" t="n">
        <v>30</v>
      </c>
      <c r="G722" t="n">
        <v>0.5</v>
      </c>
      <c r="H722" t="inlineStr">
        <is>
          <t>y</t>
        </is>
      </c>
      <c r="I722" s="87" t="n">
        <v>46240</v>
      </c>
      <c r="J722" s="87" t="n">
        <v>46243</v>
      </c>
      <c r="K722" s="87" t="n">
        <v>46243</v>
      </c>
      <c r="L722" t="n">
        <v>15</v>
      </c>
      <c r="M722" t="inlineStr">
        <is>
          <t>Scored Less Than: W05 Assignment: Chamber Discover Page</t>
        </is>
      </c>
      <c r="N722" t="inlineStr">
        <is>
          <t>Concerned Feedback: W05 Assignment</t>
        </is>
      </c>
    </row>
    <row r="724">
      <c r="A724" t="inlineStr">
        <is>
          <t>WDD231</t>
        </is>
      </c>
      <c r="B724" t="inlineStr">
        <is>
          <t>Missing Assignment</t>
        </is>
      </c>
      <c r="C724" t="inlineStr">
        <is>
          <t>W01 Assignment: Course Home Page</t>
        </is>
      </c>
      <c r="D724" t="n">
        <v>2</v>
      </c>
      <c r="E724" t="n">
        <v>3</v>
      </c>
      <c r="H724" t="inlineStr">
        <is>
          <t>y</t>
        </is>
      </c>
      <c r="I724" s="87" t="n">
        <v>46210</v>
      </c>
      <c r="J724" s="87" t="n">
        <v>46213</v>
      </c>
      <c r="K724" s="87" t="n">
        <v>46215</v>
      </c>
      <c r="L724" t="n">
        <v>0</v>
      </c>
      <c r="M724" t="inlineStr">
        <is>
          <t>Not Submitted: W01 Assignment: Course Home Page</t>
        </is>
      </c>
      <c r="N724" t="inlineStr">
        <is>
          <t>Message students who have not submitted last weeks assignment</t>
        </is>
      </c>
    </row>
    <row r="725">
      <c r="A725" t="inlineStr">
        <is>
          <t>WDD231</t>
        </is>
      </c>
      <c r="B725" t="inlineStr">
        <is>
          <t>Missing Assignment</t>
        </is>
      </c>
      <c r="C725" t="inlineStr">
        <is>
          <t>W01 Setup: Tools</t>
        </is>
      </c>
      <c r="D725" t="n">
        <v>1</v>
      </c>
      <c r="E725" t="n">
        <v>5</v>
      </c>
      <c r="H725" t="inlineStr">
        <is>
          <t>y</t>
        </is>
      </c>
      <c r="I725" s="87" t="n">
        <v>46205</v>
      </c>
      <c r="J725" s="87" t="n">
        <v>46208</v>
      </c>
      <c r="K725" s="87" t="n">
        <v>46208</v>
      </c>
      <c r="L725" t="n">
        <v>0</v>
      </c>
      <c r="M725" t="inlineStr">
        <is>
          <t>Non Participation</t>
        </is>
      </c>
      <c r="N725" t="inlineStr">
        <is>
          <t>Message students who have not completed the W01 Setup: Tools</t>
        </is>
      </c>
    </row>
    <row r="726">
      <c r="A726" t="inlineStr">
        <is>
          <t>WDD231</t>
        </is>
      </c>
      <c r="B726" t="inlineStr">
        <is>
          <t>Missing Assignment</t>
        </is>
      </c>
      <c r="C726" t="inlineStr">
        <is>
          <t>W02 Assignment Chamber Directory Page</t>
        </is>
      </c>
      <c r="D726" t="n">
        <v>3</v>
      </c>
      <c r="E726" t="n">
        <v>3</v>
      </c>
      <c r="H726" t="inlineStr">
        <is>
          <t>y</t>
        </is>
      </c>
      <c r="I726" s="87" t="n">
        <v>46217</v>
      </c>
      <c r="J726" s="87" t="n">
        <v>46220</v>
      </c>
      <c r="K726" s="87" t="n">
        <v>46222</v>
      </c>
      <c r="L726" t="n">
        <v>0</v>
      </c>
      <c r="M726" t="inlineStr">
        <is>
          <t>Not Submitted: W02 Assignment Chamber Directoty Page</t>
        </is>
      </c>
      <c r="N726" t="inlineStr">
        <is>
          <t>Message students who have not submitted last weeks assignment</t>
        </is>
      </c>
    </row>
    <row r="727">
      <c r="A727" t="inlineStr">
        <is>
          <t>WDD231</t>
        </is>
      </c>
      <c r="B727" t="inlineStr">
        <is>
          <t>Missing Assignment</t>
        </is>
      </c>
      <c r="C727" t="inlineStr">
        <is>
          <t>W03 Assignment: Chamber Home Page</t>
        </is>
      </c>
      <c r="D727" t="n">
        <v>4</v>
      </c>
      <c r="E727" t="n">
        <v>3</v>
      </c>
      <c r="H727" t="inlineStr">
        <is>
          <t>y</t>
        </is>
      </c>
      <c r="I727" s="87" t="n">
        <v>46224</v>
      </c>
      <c r="J727" s="87" t="n">
        <v>46227</v>
      </c>
      <c r="K727" s="87" t="n">
        <v>46229</v>
      </c>
      <c r="L727" t="n">
        <v>0</v>
      </c>
      <c r="M727" t="inlineStr">
        <is>
          <t>Not Submitted: W03 Assignment: Chamber Home Page</t>
        </is>
      </c>
      <c r="N727" t="inlineStr">
        <is>
          <t>Message students who have not submitted last weeks assignment</t>
        </is>
      </c>
    </row>
    <row r="728">
      <c r="A728" t="inlineStr">
        <is>
          <t>WDD231</t>
        </is>
      </c>
      <c r="B728" t="inlineStr">
        <is>
          <t>Missing Assignment</t>
        </is>
      </c>
      <c r="C728" t="inlineStr">
        <is>
          <t>W04 Assignment: Chamber Join Page</t>
        </is>
      </c>
      <c r="D728" t="n">
        <v>5</v>
      </c>
      <c r="E728" t="n">
        <v>3</v>
      </c>
      <c r="H728" t="inlineStr">
        <is>
          <t>y</t>
        </is>
      </c>
      <c r="I728" s="87" t="n">
        <v>46231</v>
      </c>
      <c r="J728" s="87" t="n">
        <v>46234</v>
      </c>
      <c r="K728" s="87" t="n">
        <v>46236</v>
      </c>
      <c r="L728" t="n">
        <v>0</v>
      </c>
      <c r="M728" t="inlineStr">
        <is>
          <t>Not Submitted: W04 Assignment: Chamber Join Page</t>
        </is>
      </c>
      <c r="N728" t="inlineStr">
        <is>
          <t>Message students who have not submitted last weeks assignment</t>
        </is>
      </c>
    </row>
    <row r="729">
      <c r="A729" t="inlineStr">
        <is>
          <t>WDD231</t>
        </is>
      </c>
      <c r="B729" t="inlineStr">
        <is>
          <t>Missing Assignment</t>
        </is>
      </c>
      <c r="C729" t="inlineStr">
        <is>
          <t>W05 Assignment: Chamber Discover Page</t>
        </is>
      </c>
      <c r="D729" t="n">
        <v>6</v>
      </c>
      <c r="E729" t="n">
        <v>3</v>
      </c>
      <c r="H729" t="inlineStr">
        <is>
          <t>y</t>
        </is>
      </c>
      <c r="I729" s="87" t="n">
        <v>46238</v>
      </c>
      <c r="J729" s="87" t="n">
        <v>46241</v>
      </c>
      <c r="K729" s="87" t="n">
        <v>46243</v>
      </c>
      <c r="L729" t="n">
        <v>0</v>
      </c>
      <c r="M729" t="inlineStr">
        <is>
          <t>Not Submitted: W05 Assignment: Chamber Discover Page</t>
        </is>
      </c>
      <c r="N729" t="inlineStr">
        <is>
          <t>Message students who have not submitted last weeks assignment</t>
        </is>
      </c>
    </row>
    <row r="730">
      <c r="A730" t="inlineStr">
        <is>
          <t>WDD430</t>
        </is>
      </c>
      <c r="B730" t="inlineStr">
        <is>
          <t>New Student Added</t>
        </is>
      </c>
      <c r="C730" t="inlineStr">
        <is>
          <t xml:space="preserve"> </t>
        </is>
      </c>
      <c r="D730" t="n">
        <v>0</v>
      </c>
      <c r="E730" t="n">
        <v>2</v>
      </c>
      <c r="H730" t="inlineStr">
        <is>
          <t>y</t>
        </is>
      </c>
      <c r="I730" s="87" t="n">
        <v>46195</v>
      </c>
      <c r="J730" s="87" t="n">
        <v>46198</v>
      </c>
      <c r="K730" s="87" t="n">
        <v>46201</v>
      </c>
      <c r="L730" t="n">
        <v>0</v>
      </c>
      <c r="M730" t="inlineStr">
        <is>
          <t>Welcome Email</t>
        </is>
      </c>
      <c r="N730" t="inlineStr">
        <is>
          <t>Send a message to new students to welcome them to class and help them submit any assignments they missed.</t>
        </is>
      </c>
    </row>
    <row r="731">
      <c r="A731" t="inlineStr">
        <is>
          <t>WDD430</t>
        </is>
      </c>
      <c r="B731" t="inlineStr">
        <is>
          <t>Scheduled - Not Logged In</t>
        </is>
      </c>
      <c r="C731" t="inlineStr">
        <is>
          <t>Not Logged into Canvas</t>
        </is>
      </c>
      <c r="D731" t="n">
        <v>1</v>
      </c>
      <c r="E731" t="n">
        <v>4</v>
      </c>
      <c r="H731" t="inlineStr">
        <is>
          <t>y</t>
        </is>
      </c>
      <c r="I731" s="87" t="n">
        <v>46204</v>
      </c>
      <c r="J731" s="87" t="n">
        <v>46207</v>
      </c>
      <c r="K731" s="87" t="n">
        <v>46208</v>
      </c>
      <c r="L731" t="n">
        <v>0</v>
      </c>
      <c r="M731" t="inlineStr">
        <is>
          <t>Not Logged into Canvas</t>
        </is>
      </c>
      <c r="N731" t="inlineStr">
        <is>
          <t>Email (outside the IMS) students who have not logged into Canvas, reminding them that term started and encouraging them to get started.</t>
        </is>
      </c>
    </row>
    <row r="732">
      <c r="A732" t="inlineStr">
        <is>
          <t>WDD430</t>
        </is>
      </c>
      <c r="B732" t="inlineStr">
        <is>
          <t>Missing Assignment</t>
        </is>
      </c>
      <c r="C732" t="inlineStr">
        <is>
          <t>W01 Assignment: React Introduction Project</t>
        </is>
      </c>
      <c r="D732" t="n">
        <v>2</v>
      </c>
      <c r="E732" t="n">
        <v>2</v>
      </c>
      <c r="F732" t="n">
        <v>10</v>
      </c>
      <c r="G732" t="inlineStr">
        <is>
          <t xml:space="preserve"> </t>
        </is>
      </c>
      <c r="H732" t="inlineStr">
        <is>
          <t>y</t>
        </is>
      </c>
      <c r="I732" s="87" t="n">
        <v>46209</v>
      </c>
      <c r="J732" s="87" t="n">
        <v>46212</v>
      </c>
      <c r="K732" s="87" t="n">
        <v>46215</v>
      </c>
      <c r="L732" t="e">
        <v>#VALUE!</v>
      </c>
      <c r="M732" t="inlineStr">
        <is>
          <t>Missing Assignment: W01 Assignment: React Introduction Project</t>
        </is>
      </c>
      <c r="N732" t="inlineStr">
        <is>
          <t>Check in with student missing W01 Assignment: React Introduction Project</t>
        </is>
      </c>
    </row>
    <row r="733">
      <c r="A733" t="inlineStr">
        <is>
          <t>WDD430</t>
        </is>
      </c>
      <c r="B733" t="inlineStr">
        <is>
          <t>Quiz Question</t>
        </is>
      </c>
      <c r="C733" t="inlineStr">
        <is>
          <t>W01 60-second Status Update: NeedHelp Answer: Yes</t>
        </is>
      </c>
      <c r="D733" t="n">
        <v>2</v>
      </c>
      <c r="E733" t="n">
        <v>2</v>
      </c>
      <c r="I733" s="87" t="n">
        <v>46209</v>
      </c>
      <c r="J733" s="87" t="n">
        <v>46212</v>
      </c>
      <c r="K733" s="87" t="n">
        <v>46215</v>
      </c>
      <c r="L733" t="n">
        <v>0</v>
      </c>
      <c r="M733" t="inlineStr">
        <is>
          <t>Response to 60-second W01 Assignment: Initial Site Creation. Student feels overwhelmed.</t>
        </is>
      </c>
      <c r="N733" t="inlineStr">
        <is>
          <t>Student responded feeling overwhelmed in W01 60-second Status Update. Reach out to student to see how you can help.</t>
        </is>
      </c>
    </row>
    <row r="734">
      <c r="A734" t="inlineStr">
        <is>
          <t>WDD430</t>
        </is>
      </c>
      <c r="B734" t="inlineStr">
        <is>
          <t>Grader-Issued 0</t>
        </is>
      </c>
      <c r="C734" t="inlineStr">
        <is>
          <t>W01 Assignment: React Introduction Project</t>
        </is>
      </c>
      <c r="D734" t="n">
        <v>2</v>
      </c>
      <c r="E734" t="n">
        <v>4</v>
      </c>
      <c r="F734" t="n">
        <v>10</v>
      </c>
      <c r="H734" t="inlineStr">
        <is>
          <t>y</t>
        </is>
      </c>
      <c r="I734" s="87" t="n">
        <v>46211</v>
      </c>
      <c r="J734" s="87" t="n">
        <v>46214</v>
      </c>
      <c r="K734" s="87" t="n">
        <v>46215</v>
      </c>
      <c r="L734" t="n">
        <v>0</v>
      </c>
      <c r="M734" t="inlineStr">
        <is>
          <t>The student was given a Grader issued 0 on W01 Assignment: React Introduction Project</t>
        </is>
      </c>
      <c r="N734" t="inlineStr">
        <is>
          <t>Grader issued 0 for: W01 Assignment: React Introduction ProjectW01 Assignment: React Introduction Project. Log into Canvas and see the grader comments. Work with the student to help resubmit.</t>
        </is>
      </c>
    </row>
    <row r="735">
      <c r="A735" t="inlineStr">
        <is>
          <t>WDD430</t>
        </is>
      </c>
      <c r="B735" t="inlineStr">
        <is>
          <t>High Performance</t>
        </is>
      </c>
      <c r="C735" t="inlineStr">
        <is>
          <t>W01 Assignment: React Introduction Project</t>
        </is>
      </c>
      <c r="D735" t="n">
        <v>2</v>
      </c>
      <c r="E735" t="n">
        <v>5</v>
      </c>
      <c r="F735" t="n">
        <v>10</v>
      </c>
      <c r="G735" t="n">
        <v>0.9</v>
      </c>
      <c r="H735" t="inlineStr">
        <is>
          <t>y</t>
        </is>
      </c>
      <c r="I735" s="87" t="n">
        <v>46212</v>
      </c>
      <c r="J735" s="87" t="n">
        <v>46215</v>
      </c>
      <c r="K735" s="87" t="n">
        <v>46215</v>
      </c>
      <c r="L735" t="n">
        <v>9</v>
      </c>
      <c r="M735" t="inlineStr">
        <is>
          <t>High Performance: W01 Assignment: React Introduction Project</t>
        </is>
      </c>
      <c r="N735" t="inlineStr">
        <is>
          <t>Provide Positive Feedback on W01 Assignment: React Introduction Project</t>
        </is>
      </c>
    </row>
    <row r="736">
      <c r="A736" t="inlineStr">
        <is>
          <t>WDD430</t>
        </is>
      </c>
      <c r="B736" t="inlineStr">
        <is>
          <t>Low Performance</t>
        </is>
      </c>
      <c r="C736" t="inlineStr">
        <is>
          <t>W01 Assignment: React Introduction Project</t>
        </is>
      </c>
      <c r="D736" t="n">
        <v>2</v>
      </c>
      <c r="E736" t="n">
        <v>5</v>
      </c>
      <c r="F736" t="n">
        <v>10</v>
      </c>
      <c r="G736" t="n">
        <v>0.7</v>
      </c>
      <c r="H736" t="inlineStr">
        <is>
          <t>y</t>
        </is>
      </c>
      <c r="I736" s="87" t="n">
        <v>46212</v>
      </c>
      <c r="J736" s="87" t="n">
        <v>46215</v>
      </c>
      <c r="K736" s="87" t="n">
        <v>46215</v>
      </c>
      <c r="L736" t="n">
        <v>7</v>
      </c>
      <c r="M736" t="inlineStr">
        <is>
          <t>Low Performance: W01 Assignment: React Introduction Project</t>
        </is>
      </c>
      <c r="N736" t="inlineStr">
        <is>
          <t xml:space="preserve">At Risk. Student scored below 70% on W01 Assignment: React Introduction Project. Check in to see how you can help. </t>
        </is>
      </c>
    </row>
    <row r="737">
      <c r="A737" t="inlineStr">
        <is>
          <t>WDD430</t>
        </is>
      </c>
      <c r="B737" t="inlineStr">
        <is>
          <t>Missing Assignment</t>
        </is>
      </c>
      <c r="C737" t="inlineStr">
        <is>
          <t>W02 Assignment: Next.js Application Tutorial</t>
        </is>
      </c>
      <c r="D737" t="n">
        <v>3</v>
      </c>
      <c r="E737" t="n">
        <v>2</v>
      </c>
      <c r="F737" t="n">
        <v>10</v>
      </c>
      <c r="H737" t="inlineStr">
        <is>
          <t>y</t>
        </is>
      </c>
      <c r="I737" s="87" t="n">
        <v>46216</v>
      </c>
      <c r="J737" s="87" t="n">
        <v>46219</v>
      </c>
      <c r="K737" s="87" t="n">
        <v>46222</v>
      </c>
      <c r="L737" t="n">
        <v>0</v>
      </c>
      <c r="M737" t="inlineStr">
        <is>
          <t>Missing Assignment: W02 Assignment: Next.js Application Tutorial</t>
        </is>
      </c>
      <c r="N737" t="inlineStr">
        <is>
          <t>Check in with student missing W02 Assignment: Next.js Application Tutorial</t>
        </is>
      </c>
    </row>
    <row r="738">
      <c r="A738" t="inlineStr">
        <is>
          <t>WDD430</t>
        </is>
      </c>
      <c r="B738" t="inlineStr">
        <is>
          <t>Quiz Question</t>
        </is>
      </c>
      <c r="C738" t="inlineStr">
        <is>
          <t>W02 60-second Status Update: NeedHelp Answer: Yes</t>
        </is>
      </c>
      <c r="D738" t="n">
        <v>3</v>
      </c>
      <c r="E738" t="n">
        <v>2</v>
      </c>
      <c r="I738" s="87" t="n">
        <v>46216</v>
      </c>
      <c r="J738" s="87" t="n">
        <v>46219</v>
      </c>
      <c r="K738" s="87" t="n">
        <v>46222</v>
      </c>
      <c r="L738" t="n">
        <v>0</v>
      </c>
      <c r="M738" t="inlineStr">
        <is>
          <t>Response to 60-second W02 Status Update. Student feels overwhelmed.</t>
        </is>
      </c>
      <c r="N738" t="inlineStr">
        <is>
          <t>Student responded feeling overwhelmed in W02 60-second Status Update. Reach out to student to see how you can help.</t>
        </is>
      </c>
    </row>
    <row r="739">
      <c r="A739" t="inlineStr">
        <is>
          <t>WDD430</t>
        </is>
      </c>
      <c r="B739" t="inlineStr">
        <is>
          <t>Grader-Issued 0</t>
        </is>
      </c>
      <c r="C739" t="inlineStr">
        <is>
          <t>W02 Assignment: Next.js Application Tutorial</t>
        </is>
      </c>
      <c r="D739" t="n">
        <v>3</v>
      </c>
      <c r="E739" t="n">
        <v>4</v>
      </c>
      <c r="F739" t="n">
        <v>10</v>
      </c>
      <c r="H739" t="inlineStr">
        <is>
          <t>y</t>
        </is>
      </c>
      <c r="I739" s="87" t="n">
        <v>46218</v>
      </c>
      <c r="J739" s="87" t="n">
        <v>46221</v>
      </c>
      <c r="K739" s="87" t="n">
        <v>46222</v>
      </c>
      <c r="L739" t="n">
        <v>0</v>
      </c>
      <c r="M739" t="inlineStr">
        <is>
          <t>The student was given a Grader issued 0 on W02 Assignment: Next.js Application Tutorial</t>
        </is>
      </c>
      <c r="N739" t="inlineStr">
        <is>
          <t>Grader issued 0 for W02 Assignment: Next.js Application Tutorial. Log into Canvas and see the grader comments. Work with the student to help resubmit.</t>
        </is>
      </c>
    </row>
    <row r="740">
      <c r="A740" t="inlineStr">
        <is>
          <t>WDD430</t>
        </is>
      </c>
      <c r="B740" t="inlineStr">
        <is>
          <t>High Performance</t>
        </is>
      </c>
      <c r="C740" t="inlineStr">
        <is>
          <t>W02 Assignment: Next.js Application Tutorial</t>
        </is>
      </c>
      <c r="D740" t="n">
        <v>3</v>
      </c>
      <c r="E740" t="n">
        <v>5</v>
      </c>
      <c r="F740" t="n">
        <v>10</v>
      </c>
      <c r="G740" t="n">
        <v>0.9</v>
      </c>
      <c r="H740" t="inlineStr">
        <is>
          <t>y</t>
        </is>
      </c>
      <c r="I740" s="87" t="n">
        <v>46219</v>
      </c>
      <c r="J740" s="87" t="n">
        <v>46222</v>
      </c>
      <c r="K740" s="87" t="n">
        <v>46222</v>
      </c>
      <c r="L740" t="n">
        <v>9</v>
      </c>
      <c r="M740" t="inlineStr">
        <is>
          <t>High Performance: W02 Assignment: Next.js Application Tutorial</t>
        </is>
      </c>
      <c r="N740" t="inlineStr">
        <is>
          <t>Provide Positive Feedback on W02 Assignment: Next.js Application Tutorial</t>
        </is>
      </c>
    </row>
    <row r="741">
      <c r="A741" t="inlineStr">
        <is>
          <t>WDD430</t>
        </is>
      </c>
      <c r="B741" t="inlineStr">
        <is>
          <t>Low Performance</t>
        </is>
      </c>
      <c r="C741" t="inlineStr">
        <is>
          <t>W02 Assignment: Next.js Application Tutorial</t>
        </is>
      </c>
      <c r="D741" t="n">
        <v>3</v>
      </c>
      <c r="E741" t="n">
        <v>5</v>
      </c>
      <c r="F741" t="n">
        <v>10</v>
      </c>
      <c r="G741" t="n">
        <v>0.7</v>
      </c>
      <c r="H741" t="inlineStr">
        <is>
          <t>y</t>
        </is>
      </c>
      <c r="I741" s="87" t="n">
        <v>46219</v>
      </c>
      <c r="J741" s="87" t="n">
        <v>46222</v>
      </c>
      <c r="K741" s="87" t="n">
        <v>46222</v>
      </c>
      <c r="L741" t="n">
        <v>7</v>
      </c>
      <c r="M741" t="inlineStr">
        <is>
          <t>Low Performance: W02 Assignment: Next.js Application Tutorialt</t>
        </is>
      </c>
      <c r="N741" t="inlineStr">
        <is>
          <t xml:space="preserve">At Risk. Student scored below 70% on W02 Assignment: Next.js Application Tutorial. Check in to see how you can help. </t>
        </is>
      </c>
    </row>
    <row r="742">
      <c r="A742" t="inlineStr">
        <is>
          <t>WDD430</t>
        </is>
      </c>
      <c r="B742" t="inlineStr">
        <is>
          <t>Missing Assignment</t>
        </is>
      </c>
      <c r="C742" t="inlineStr">
        <is>
          <t>W03 Assignment: Next.js Application</t>
        </is>
      </c>
      <c r="D742" t="n">
        <v>4</v>
      </c>
      <c r="E742" t="n">
        <v>2</v>
      </c>
      <c r="F742" t="n">
        <v>10</v>
      </c>
      <c r="H742" t="inlineStr">
        <is>
          <t>y</t>
        </is>
      </c>
      <c r="I742" s="87" t="n">
        <v>46223</v>
      </c>
      <c r="J742" s="87" t="n">
        <v>46226</v>
      </c>
      <c r="K742" s="87" t="n">
        <v>46229</v>
      </c>
      <c r="L742" t="n">
        <v>0</v>
      </c>
      <c r="M742" t="inlineStr">
        <is>
          <t>Missing Assignment: W03 Assignment: Next.js Application</t>
        </is>
      </c>
      <c r="N742" t="inlineStr">
        <is>
          <t>Check in with student missing W03 Assignment: Next.js Application</t>
        </is>
      </c>
    </row>
    <row r="743">
      <c r="A743" t="inlineStr">
        <is>
          <t>WDD430</t>
        </is>
      </c>
      <c r="B743" t="inlineStr">
        <is>
          <t>Quiz Question</t>
        </is>
      </c>
      <c r="C743" t="inlineStr">
        <is>
          <t>W03 60-second Status Update: NeedHelp Answer: Yes</t>
        </is>
      </c>
      <c r="D743" t="n">
        <v>4</v>
      </c>
      <c r="E743" t="n">
        <v>2</v>
      </c>
      <c r="I743" s="87" t="n">
        <v>46223</v>
      </c>
      <c r="J743" s="87" t="n">
        <v>46226</v>
      </c>
      <c r="K743" s="87" t="n">
        <v>46229</v>
      </c>
      <c r="L743" t="n">
        <v>0</v>
      </c>
      <c r="M743" t="inlineStr">
        <is>
          <t>Response to 60-second W03 Status Update. Student feels overwhelmed.</t>
        </is>
      </c>
      <c r="N743" t="inlineStr">
        <is>
          <t>Student responded feeling overwhelmed in W03 60-second Status Update. Reach out to student to see how you can help.</t>
        </is>
      </c>
    </row>
    <row r="744">
      <c r="A744" t="inlineStr">
        <is>
          <t>WDD430</t>
        </is>
      </c>
      <c r="B744" t="inlineStr">
        <is>
          <t>Grader-Issued 0</t>
        </is>
      </c>
      <c r="C744" t="inlineStr">
        <is>
          <t>W03 Assignment: Next.js Application</t>
        </is>
      </c>
      <c r="D744" t="n">
        <v>4</v>
      </c>
      <c r="E744" t="n">
        <v>4</v>
      </c>
      <c r="F744" t="n">
        <v>10</v>
      </c>
      <c r="H744" t="inlineStr">
        <is>
          <t>y</t>
        </is>
      </c>
      <c r="I744" s="87" t="n">
        <v>46225</v>
      </c>
      <c r="J744" s="87" t="n">
        <v>46228</v>
      </c>
      <c r="K744" s="87" t="n">
        <v>46229</v>
      </c>
      <c r="L744" t="n">
        <v>0</v>
      </c>
      <c r="M744" t="inlineStr">
        <is>
          <t>The student was given a Grader issued 0 on W03 Assignment: Next.js Application</t>
        </is>
      </c>
      <c r="N744" t="inlineStr">
        <is>
          <t>Grader issued 0 for W03 Assignment: Next.js Application. Log into Canvas and see the grader comments. Work with the student to help resubmit.</t>
        </is>
      </c>
    </row>
    <row r="745">
      <c r="A745" t="inlineStr">
        <is>
          <t>WDD430</t>
        </is>
      </c>
      <c r="B745" t="inlineStr">
        <is>
          <t>Scheduled - Low Current Grade</t>
        </is>
      </c>
      <c r="C745" t="inlineStr">
        <is>
          <t>Withdraw Deadline Reminder</t>
        </is>
      </c>
      <c r="D745" t="n">
        <v>4</v>
      </c>
      <c r="E745" t="n">
        <v>4</v>
      </c>
      <c r="G745" t="n">
        <v>0.5</v>
      </c>
      <c r="H745" t="inlineStr">
        <is>
          <t>y</t>
        </is>
      </c>
      <c r="I745" s="87" t="n">
        <v>46225</v>
      </c>
      <c r="J745" s="87" t="n">
        <v>46228</v>
      </c>
      <c r="K745" s="87" t="n">
        <v>46229</v>
      </c>
      <c r="L745" t="n">
        <v>0</v>
      </c>
      <c r="M745" t="inlineStr">
        <is>
          <t>Failing student. Withdraw Reminder</t>
        </is>
      </c>
      <c r="N745" t="inlineStr">
        <is>
          <t>Email students who are currently failing with little chance to catch up, reminding them of the withdraw deadline.</t>
        </is>
      </c>
    </row>
    <row r="746">
      <c r="A746" t="inlineStr">
        <is>
          <t>WDD430</t>
        </is>
      </c>
      <c r="B746" t="inlineStr">
        <is>
          <t>High Performance</t>
        </is>
      </c>
      <c r="C746" t="inlineStr">
        <is>
          <t>W03 Assignment: Next.js Application</t>
        </is>
      </c>
      <c r="D746" t="n">
        <v>4</v>
      </c>
      <c r="E746" t="n">
        <v>5</v>
      </c>
      <c r="F746" t="n">
        <v>10</v>
      </c>
      <c r="G746" t="n">
        <v>0.9</v>
      </c>
      <c r="H746" t="inlineStr">
        <is>
          <t>y</t>
        </is>
      </c>
      <c r="I746" s="87" t="n">
        <v>46226</v>
      </c>
      <c r="J746" s="87" t="n">
        <v>46229</v>
      </c>
      <c r="K746" s="87" t="n">
        <v>46229</v>
      </c>
      <c r="L746" t="n">
        <v>9</v>
      </c>
      <c r="M746" t="inlineStr">
        <is>
          <t>High Performance: W03 Assignment: Next.js Application</t>
        </is>
      </c>
      <c r="N746" t="inlineStr">
        <is>
          <t>Provide Positive Feedback on W03 Assignment: Next.js Application</t>
        </is>
      </c>
    </row>
    <row r="747">
      <c r="A747" t="inlineStr">
        <is>
          <t>WDD430</t>
        </is>
      </c>
      <c r="B747" t="inlineStr">
        <is>
          <t>Low Performance</t>
        </is>
      </c>
      <c r="C747" t="inlineStr">
        <is>
          <t>W03 Assignment: Next.js Application</t>
        </is>
      </c>
      <c r="D747" t="n">
        <v>4</v>
      </c>
      <c r="E747" t="n">
        <v>5</v>
      </c>
      <c r="F747" t="n">
        <v>10</v>
      </c>
      <c r="G747" t="n">
        <v>0.7</v>
      </c>
      <c r="H747" t="inlineStr">
        <is>
          <t>y</t>
        </is>
      </c>
      <c r="I747" s="87" t="n">
        <v>46226</v>
      </c>
      <c r="J747" s="87" t="n">
        <v>46229</v>
      </c>
      <c r="K747" s="87" t="n">
        <v>46229</v>
      </c>
      <c r="L747" t="n">
        <v>7</v>
      </c>
      <c r="M747" t="inlineStr">
        <is>
          <t>Low Performance: W03 Assignment: Next.js Application</t>
        </is>
      </c>
      <c r="N747" t="inlineStr">
        <is>
          <t xml:space="preserve">At Risk W03 Assignment: Next.js Application. Student scored below 70% on . Check in to see how you can help. </t>
        </is>
      </c>
    </row>
    <row r="748">
      <c r="A748" t="inlineStr">
        <is>
          <t>WDD430</t>
        </is>
      </c>
      <c r="B748" t="inlineStr">
        <is>
          <t>Missing Assignment</t>
        </is>
      </c>
      <c r="C748" t="inlineStr">
        <is>
          <t>W04 Peer Review with Feedback</t>
        </is>
      </c>
      <c r="D748" t="n">
        <v>5</v>
      </c>
      <c r="E748" t="n">
        <v>2</v>
      </c>
      <c r="F748" t="n">
        <v>25</v>
      </c>
      <c r="H748" t="inlineStr">
        <is>
          <t>y</t>
        </is>
      </c>
      <c r="I748" s="87" t="n">
        <v>46230</v>
      </c>
      <c r="J748" s="87" t="n">
        <v>46233</v>
      </c>
      <c r="K748" s="87" t="n">
        <v>46236</v>
      </c>
      <c r="L748" t="n">
        <v>0</v>
      </c>
      <c r="M748" t="inlineStr">
        <is>
          <t>Missing Assignment: W04 Peer Review with Feedback</t>
        </is>
      </c>
      <c r="N748" t="inlineStr">
        <is>
          <t>Check in with student missing W04 Peer Review with Feedback</t>
        </is>
      </c>
    </row>
    <row r="749">
      <c r="A749" t="inlineStr">
        <is>
          <t>WDD430</t>
        </is>
      </c>
      <c r="B749" t="inlineStr">
        <is>
          <t>Quiz Question</t>
        </is>
      </c>
      <c r="C749" t="inlineStr">
        <is>
          <t>W04 60-second Status Update: NeedHelp Answer: Yes</t>
        </is>
      </c>
      <c r="D749" t="n">
        <v>5</v>
      </c>
      <c r="E749" t="n">
        <v>2</v>
      </c>
      <c r="I749" s="87" t="n">
        <v>46230</v>
      </c>
      <c r="J749" s="87" t="n">
        <v>46233</v>
      </c>
      <c r="K749" s="87" t="n">
        <v>46236</v>
      </c>
      <c r="L749" t="n">
        <v>0</v>
      </c>
      <c r="M749" t="inlineStr">
        <is>
          <t>Response to 60-second W04 Status Update. Student feels overwhelmed.</t>
        </is>
      </c>
      <c r="N749" t="inlineStr">
        <is>
          <t>Student responded feeling overwhelmed in W04 60-second Status Update. Reach out to student to see how you can help.</t>
        </is>
      </c>
    </row>
    <row r="750">
      <c r="A750" t="inlineStr">
        <is>
          <t>WDD430</t>
        </is>
      </c>
      <c r="B750" t="inlineStr">
        <is>
          <t>Grader-Issued 0</t>
        </is>
      </c>
      <c r="C750" t="inlineStr">
        <is>
          <t>W04 Peer Review with Feedback</t>
        </is>
      </c>
      <c r="D750" t="n">
        <v>5</v>
      </c>
      <c r="E750" t="n">
        <v>4</v>
      </c>
      <c r="F750" t="n">
        <v>25</v>
      </c>
      <c r="H750" t="inlineStr">
        <is>
          <t>y</t>
        </is>
      </c>
      <c r="I750" s="87" t="n">
        <v>46232</v>
      </c>
      <c r="J750" s="87" t="n">
        <v>46235</v>
      </c>
      <c r="K750" s="87" t="n">
        <v>46236</v>
      </c>
      <c r="L750" t="n">
        <v>0</v>
      </c>
      <c r="M750" t="inlineStr">
        <is>
          <t>The student was given a Grader issued 0 on W04 Peer Review with Feedback</t>
        </is>
      </c>
      <c r="N750" t="inlineStr">
        <is>
          <t>Grader issued 0 for W04 Peer Review with Feedback. Log into Canvas and see the grader comments. Work with the student to help resubmit.</t>
        </is>
      </c>
    </row>
    <row r="751">
      <c r="A751" t="inlineStr">
        <is>
          <t>WDD430</t>
        </is>
      </c>
      <c r="B751" t="inlineStr">
        <is>
          <t>Scheduled - Classwide</t>
        </is>
      </c>
      <c r="C751" t="inlineStr">
        <is>
          <t>Registration Reminder 1</t>
        </is>
      </c>
      <c r="D751" t="n">
        <v>5</v>
      </c>
      <c r="E751" t="n">
        <v>4</v>
      </c>
      <c r="H751" t="inlineStr">
        <is>
          <t>y</t>
        </is>
      </c>
      <c r="I751" s="87" t="n">
        <v>46232</v>
      </c>
      <c r="J751" s="87" t="n">
        <v>46235</v>
      </c>
      <c r="K751" s="87" t="n">
        <v>46236</v>
      </c>
      <c r="L751" t="n">
        <v>0</v>
      </c>
      <c r="M751" t="inlineStr">
        <is>
          <t>Registration Reminder 1</t>
        </is>
      </c>
      <c r="N751" t="inlineStr">
        <is>
          <t>Send a message to all students, reminding them that registration for the next block is now open and encouraging them to go and take action.</t>
        </is>
      </c>
    </row>
    <row r="752">
      <c r="A752" t="inlineStr">
        <is>
          <t>WDD430</t>
        </is>
      </c>
      <c r="B752" t="inlineStr">
        <is>
          <t>High Performance</t>
        </is>
      </c>
      <c r="C752" t="inlineStr">
        <is>
          <t>W04 Peer Review with Feedback</t>
        </is>
      </c>
      <c r="D752" t="n">
        <v>5</v>
      </c>
      <c r="E752" t="n">
        <v>5</v>
      </c>
      <c r="F752" t="n">
        <v>25</v>
      </c>
      <c r="G752" t="n">
        <v>0.9</v>
      </c>
      <c r="H752" t="inlineStr">
        <is>
          <t>y</t>
        </is>
      </c>
      <c r="I752" s="87" t="n">
        <v>46233</v>
      </c>
      <c r="J752" s="87" t="n">
        <v>46236</v>
      </c>
      <c r="K752" s="87" t="n">
        <v>46236</v>
      </c>
      <c r="L752" t="n">
        <v>22.5</v>
      </c>
      <c r="M752" t="inlineStr">
        <is>
          <t>High Performance: W04 Peer Review with Feedback</t>
        </is>
      </c>
      <c r="N752" t="inlineStr">
        <is>
          <t>Provide Positive Feedback on W04 Peer Review with Feedback</t>
        </is>
      </c>
    </row>
    <row r="753">
      <c r="A753" t="inlineStr">
        <is>
          <t>WDD430</t>
        </is>
      </c>
      <c r="B753" t="inlineStr">
        <is>
          <t>Low Performance</t>
        </is>
      </c>
      <c r="C753" t="inlineStr">
        <is>
          <t>W04 Peer Review with Feedback</t>
        </is>
      </c>
      <c r="D753" t="n">
        <v>5</v>
      </c>
      <c r="E753" t="n">
        <v>5</v>
      </c>
      <c r="F753" t="n">
        <v>25</v>
      </c>
      <c r="G753" t="n">
        <v>0.7</v>
      </c>
      <c r="H753" t="inlineStr">
        <is>
          <t>y</t>
        </is>
      </c>
      <c r="I753" s="87" t="n">
        <v>46233</v>
      </c>
      <c r="J753" s="87" t="n">
        <v>46236</v>
      </c>
      <c r="K753" s="87" t="n">
        <v>46236</v>
      </c>
      <c r="L753" t="n">
        <v>17.5</v>
      </c>
      <c r="M753" t="inlineStr">
        <is>
          <t>Low Performance: W04 Peer Review with Feedback</t>
        </is>
      </c>
      <c r="N753" t="inlineStr">
        <is>
          <t xml:space="preserve">At Risk. Student scored below 70% on W04 Peer Review with Feedback. Check in to see how you can help. </t>
        </is>
      </c>
    </row>
    <row r="754">
      <c r="A754" t="inlineStr">
        <is>
          <t>WDD430</t>
        </is>
      </c>
      <c r="B754" t="inlineStr">
        <is>
          <t>Missing Assignment</t>
        </is>
      </c>
      <c r="C754" t="inlineStr">
        <is>
          <t>W05 Assignment: Team Project Checkpoint</t>
        </is>
      </c>
      <c r="D754" t="n">
        <v>6</v>
      </c>
      <c r="E754" t="n">
        <v>2</v>
      </c>
      <c r="F754" t="n">
        <v>10</v>
      </c>
      <c r="H754" t="inlineStr">
        <is>
          <t>y</t>
        </is>
      </c>
      <c r="I754" s="87" t="n">
        <v>46237</v>
      </c>
      <c r="J754" s="87" t="n">
        <v>46240</v>
      </c>
      <c r="K754" s="87" t="n">
        <v>46243</v>
      </c>
      <c r="L754" t="n">
        <v>0</v>
      </c>
      <c r="M754" t="inlineStr">
        <is>
          <t>Missing Assignment: W05 Assignment: Team Project Checkpoint</t>
        </is>
      </c>
      <c r="N754" t="inlineStr">
        <is>
          <t>Check in with student missing W05 Assignment: Team Project Checkpoint</t>
        </is>
      </c>
    </row>
    <row r="755">
      <c r="A755" t="inlineStr">
        <is>
          <t>WDD430</t>
        </is>
      </c>
      <c r="B755" t="inlineStr">
        <is>
          <t>Quiz Question</t>
        </is>
      </c>
      <c r="C755" t="inlineStr">
        <is>
          <t>W05 60-second Status Update: NeedHelp Answer: Yes</t>
        </is>
      </c>
      <c r="D755" t="n">
        <v>6</v>
      </c>
      <c r="E755" t="n">
        <v>2</v>
      </c>
      <c r="I755" s="87" t="n">
        <v>46237</v>
      </c>
      <c r="J755" s="87" t="n">
        <v>46240</v>
      </c>
      <c r="K755" s="87" t="n">
        <v>46243</v>
      </c>
      <c r="L755" t="n">
        <v>0</v>
      </c>
      <c r="M755" t="inlineStr">
        <is>
          <t>Response to 60-second W05 Status Update. Student feels overwhelmed.</t>
        </is>
      </c>
      <c r="N755" t="inlineStr">
        <is>
          <t>Student responded feeling overwhelmed in W05 60-second Status Update. Reach out to student to see how you can help.</t>
        </is>
      </c>
    </row>
    <row r="756">
      <c r="A756" t="inlineStr">
        <is>
          <t>WDD430</t>
        </is>
      </c>
      <c r="B756" t="inlineStr">
        <is>
          <t>Grader-Issued 0</t>
        </is>
      </c>
      <c r="C756" t="inlineStr">
        <is>
          <t>W05 Assignment: Team Project Checkpoint</t>
        </is>
      </c>
      <c r="D756" t="n">
        <v>6</v>
      </c>
      <c r="E756" t="n">
        <v>4</v>
      </c>
      <c r="F756" t="n">
        <v>10</v>
      </c>
      <c r="H756" t="inlineStr">
        <is>
          <t>y</t>
        </is>
      </c>
      <c r="I756" s="87" t="n">
        <v>46239</v>
      </c>
      <c r="J756" s="87" t="n">
        <v>46242</v>
      </c>
      <c r="K756" s="87" t="n">
        <v>46243</v>
      </c>
      <c r="L756" t="n">
        <v>0</v>
      </c>
      <c r="M756" t="inlineStr">
        <is>
          <t>The student was given a Grader issued 0 on W05 Assignment: Team Project Checkpoint</t>
        </is>
      </c>
      <c r="N756" t="inlineStr">
        <is>
          <t>Grader issued 0 for W05 Assignment: Team Project Checkpoint. Log into Canvas and see the grader comments. Work with the student to help resubmit.</t>
        </is>
      </c>
    </row>
    <row r="757">
      <c r="A757" t="inlineStr">
        <is>
          <t>WDD430</t>
        </is>
      </c>
      <c r="B757" t="inlineStr">
        <is>
          <t>High Performance</t>
        </is>
      </c>
      <c r="C757" t="inlineStr">
        <is>
          <t>W05 Assignment: Team Project Checkpoint</t>
        </is>
      </c>
      <c r="D757" t="n">
        <v>6</v>
      </c>
      <c r="E757" t="n">
        <v>5</v>
      </c>
      <c r="F757" t="n">
        <v>10</v>
      </c>
      <c r="G757" t="n">
        <v>0.9</v>
      </c>
      <c r="H757" t="inlineStr">
        <is>
          <t>y</t>
        </is>
      </c>
      <c r="I757" s="87" t="n">
        <v>46240</v>
      </c>
      <c r="J757" s="87" t="n">
        <v>46243</v>
      </c>
      <c r="K757" s="87" t="n">
        <v>46243</v>
      </c>
      <c r="L757" t="n">
        <v>9</v>
      </c>
      <c r="M757" t="inlineStr">
        <is>
          <t>High Performance: W05 Assignment: Team Project Checkpoint</t>
        </is>
      </c>
      <c r="N757" t="inlineStr">
        <is>
          <t>Provide Positive Feedback on W05 Assignment: Team Project Checkpoint</t>
        </is>
      </c>
    </row>
    <row r="758">
      <c r="A758" t="inlineStr">
        <is>
          <t>WDD430</t>
        </is>
      </c>
      <c r="B758" t="inlineStr">
        <is>
          <t>Low Performance</t>
        </is>
      </c>
      <c r="C758" t="inlineStr">
        <is>
          <t>W05 Assignment: Team Project Checkpoint</t>
        </is>
      </c>
      <c r="D758" t="n">
        <v>6</v>
      </c>
      <c r="E758" t="n">
        <v>5</v>
      </c>
      <c r="F758" t="n">
        <v>10</v>
      </c>
      <c r="G758" t="n">
        <v>0.7</v>
      </c>
      <c r="H758" t="inlineStr">
        <is>
          <t>y</t>
        </is>
      </c>
      <c r="I758" s="87" t="n">
        <v>46240</v>
      </c>
      <c r="J758" s="87" t="n">
        <v>46243</v>
      </c>
      <c r="K758" s="87" t="n">
        <v>46243</v>
      </c>
      <c r="L758" t="n">
        <v>7</v>
      </c>
      <c r="M758" t="inlineStr">
        <is>
          <t>Low Performance: W05 Assignment: Team Project Checkpoint</t>
        </is>
      </c>
      <c r="N758" t="inlineStr">
        <is>
          <t xml:space="preserve">At Risk. Student scored below 70% on W05 Assignment: Team Project Checkpoint. Check in to see how you can help. </t>
        </is>
      </c>
    </row>
    <row r="759">
      <c r="A759" t="inlineStr">
        <is>
          <t>WDD430</t>
        </is>
      </c>
      <c r="B759" t="inlineStr">
        <is>
          <t>Scheduled - Classwide</t>
        </is>
      </c>
      <c r="C759" t="inlineStr">
        <is>
          <t>Registration Reminder 2</t>
        </is>
      </c>
      <c r="D759" t="n">
        <v>7</v>
      </c>
      <c r="E759" t="n">
        <v>1</v>
      </c>
      <c r="H759" t="inlineStr">
        <is>
          <t>y</t>
        </is>
      </c>
      <c r="I759" s="87" t="n">
        <v>46243</v>
      </c>
      <c r="J759" s="87" t="n">
        <v>46246</v>
      </c>
      <c r="K759" s="87" t="n">
        <v>46250</v>
      </c>
      <c r="L759" t="n">
        <v>0</v>
      </c>
      <c r="M759" t="inlineStr">
        <is>
          <t>Registration Reminder 2</t>
        </is>
      </c>
      <c r="N759" t="inlineStr">
        <is>
          <t>Send a message to all students, reminding them that registration for the next block is still open, but will be closing soon. Encourage them to go in and register as soon as possible.</t>
        </is>
      </c>
    </row>
    <row r="760">
      <c r="A760" t="inlineStr">
        <is>
          <t>WDD430</t>
        </is>
      </c>
      <c r="B760" t="inlineStr">
        <is>
          <t>Scheduled - Classwide</t>
        </is>
      </c>
      <c r="C760" t="inlineStr">
        <is>
          <t>End of Block Reminder</t>
        </is>
      </c>
      <c r="D760" t="n">
        <v>7</v>
      </c>
      <c r="E760" t="n">
        <v>2</v>
      </c>
      <c r="H760" t="inlineStr">
        <is>
          <t>y</t>
        </is>
      </c>
      <c r="I760" s="87" t="n">
        <v>46244</v>
      </c>
      <c r="J760" s="87" t="n">
        <v>46247</v>
      </c>
      <c r="K760" s="87" t="n">
        <v>46250</v>
      </c>
      <c r="L760" t="n">
        <v>0</v>
      </c>
      <c r="M760" t="inlineStr">
        <is>
          <t>End of Block Reminder</t>
        </is>
      </c>
      <c r="N760" t="inlineStr">
        <is>
          <t>Remind Students the course will be closing, submit assignments by deadline, complete End-of-Course Evaluation</t>
        </is>
      </c>
    </row>
    <row r="761">
      <c r="I761" s="87" t="n">
        <v>46193</v>
      </c>
      <c r="J761" s="87" t="n">
        <v>46196</v>
      </c>
      <c r="K761" s="87" t="n">
        <v>46194</v>
      </c>
      <c r="L761" t="n">
        <v>0</v>
      </c>
    </row>
    <row r="762">
      <c r="I762" s="87" t="n">
        <v>46193</v>
      </c>
      <c r="J762" s="87" t="n">
        <v>46196</v>
      </c>
      <c r="K762" s="87" t="n">
        <v>46194</v>
      </c>
      <c r="L762" t="n">
        <v>0</v>
      </c>
    </row>
    <row r="763">
      <c r="I763" s="87" t="n">
        <v>46193</v>
      </c>
      <c r="J763" s="87" t="n">
        <v>46196</v>
      </c>
      <c r="K763" s="87" t="n">
        <v>46194</v>
      </c>
      <c r="L763" t="n">
        <v>0</v>
      </c>
    </row>
    <row r="764">
      <c r="I764" s="87" t="n">
        <v>46193</v>
      </c>
      <c r="J764" s="87" t="n">
        <v>46196</v>
      </c>
      <c r="K764" s="87" t="n">
        <v>46194</v>
      </c>
      <c r="L764" t="n">
        <v>0</v>
      </c>
    </row>
    <row r="765">
      <c r="I765" s="87" t="n">
        <v>46193</v>
      </c>
      <c r="J765" s="87" t="n">
        <v>46196</v>
      </c>
      <c r="K765" s="87" t="n">
        <v>46194</v>
      </c>
      <c r="L765" t="n">
        <v>0</v>
      </c>
    </row>
    <row r="766">
      <c r="I766" s="87" t="n">
        <v>46193</v>
      </c>
      <c r="J766" s="87" t="n">
        <v>46196</v>
      </c>
      <c r="K766" s="87" t="n">
        <v>46194</v>
      </c>
      <c r="L766" t="n">
        <v>0</v>
      </c>
    </row>
    <row r="767">
      <c r="I767" s="87" t="n">
        <v>46193</v>
      </c>
      <c r="J767" s="87" t="n">
        <v>46196</v>
      </c>
      <c r="K767" s="87" t="n">
        <v>46194</v>
      </c>
      <c r="L767" t="n">
        <v>0</v>
      </c>
    </row>
    <row r="768">
      <c r="I768" s="87" t="n">
        <v>46193</v>
      </c>
      <c r="J768" s="87" t="n">
        <v>46196</v>
      </c>
      <c r="K768" s="87" t="n">
        <v>46194</v>
      </c>
      <c r="L768" t="n">
        <v>0</v>
      </c>
    </row>
    <row r="769">
      <c r="I769" s="87" t="n">
        <v>46193</v>
      </c>
      <c r="J769" s="87" t="n">
        <v>46196</v>
      </c>
      <c r="K769" s="87" t="n">
        <v>46194</v>
      </c>
      <c r="L769" t="n">
        <v>0</v>
      </c>
    </row>
    <row r="770">
      <c r="I770" s="87" t="n">
        <v>46193</v>
      </c>
      <c r="J770" s="87" t="n">
        <v>46196</v>
      </c>
      <c r="K770" s="87" t="n">
        <v>46194</v>
      </c>
      <c r="L770" t="n">
        <v>0</v>
      </c>
    </row>
    <row r="771">
      <c r="I771" s="87" t="n">
        <v>46193</v>
      </c>
      <c r="J771" s="87" t="n">
        <v>46196</v>
      </c>
      <c r="K771" s="87" t="n">
        <v>46194</v>
      </c>
      <c r="L771" t="n">
        <v>0</v>
      </c>
    </row>
    <row r="772">
      <c r="I772" s="87" t="n">
        <v>46193</v>
      </c>
      <c r="J772" s="87" t="n">
        <v>46196</v>
      </c>
      <c r="K772" s="87" t="n">
        <v>46194</v>
      </c>
      <c r="L772" t="n">
        <v>0</v>
      </c>
    </row>
    <row r="773">
      <c r="I773" s="87" t="n">
        <v>46193</v>
      </c>
      <c r="J773" s="87" t="n">
        <v>46196</v>
      </c>
      <c r="K773" s="87" t="n">
        <v>46194</v>
      </c>
      <c r="L773" t="n">
        <v>0</v>
      </c>
    </row>
    <row r="774">
      <c r="I774" s="87" t="n">
        <v>46193</v>
      </c>
      <c r="J774" s="87" t="n">
        <v>46196</v>
      </c>
      <c r="K774" s="87" t="n">
        <v>46194</v>
      </c>
      <c r="L774" t="n">
        <v>0</v>
      </c>
    </row>
    <row r="775">
      <c r="I775" s="87" t="n">
        <v>46193</v>
      </c>
      <c r="J775" s="87" t="n">
        <v>46196</v>
      </c>
      <c r="K775" s="87" t="n">
        <v>46194</v>
      </c>
      <c r="L775" t="n">
        <v>0</v>
      </c>
    </row>
    <row r="776">
      <c r="I776" s="87" t="n">
        <v>46193</v>
      </c>
      <c r="J776" s="87" t="n">
        <v>46196</v>
      </c>
      <c r="K776" s="87" t="n">
        <v>46194</v>
      </c>
      <c r="L776" t="n">
        <v>0</v>
      </c>
    </row>
    <row r="777">
      <c r="I777" s="87" t="n">
        <v>46193</v>
      </c>
      <c r="J777" s="87" t="n">
        <v>46196</v>
      </c>
      <c r="K777" s="87" t="n">
        <v>46194</v>
      </c>
      <c r="L777" t="n">
        <v>0</v>
      </c>
    </row>
    <row r="778">
      <c r="I778" s="87" t="n">
        <v>46193</v>
      </c>
      <c r="J778" s="87" t="n">
        <v>46196</v>
      </c>
      <c r="K778" s="87" t="n">
        <v>46194</v>
      </c>
      <c r="L778" t="n">
        <v>0</v>
      </c>
    </row>
    <row r="779">
      <c r="I779" s="87" t="n">
        <v>46193</v>
      </c>
      <c r="J779" s="87" t="n">
        <v>46196</v>
      </c>
      <c r="K779" s="87" t="n">
        <v>46194</v>
      </c>
      <c r="L779" t="n">
        <v>0</v>
      </c>
    </row>
    <row r="780">
      <c r="I780" s="87" t="n">
        <v>46193</v>
      </c>
      <c r="J780" s="87" t="n">
        <v>46196</v>
      </c>
      <c r="K780" s="87" t="n">
        <v>46194</v>
      </c>
      <c r="L780" t="n">
        <v>0</v>
      </c>
    </row>
    <row r="781">
      <c r="I781" s="87" t="n">
        <v>46193</v>
      </c>
      <c r="J781" s="87" t="n">
        <v>46196</v>
      </c>
      <c r="K781" s="87" t="n">
        <v>46194</v>
      </c>
      <c r="L781" t="n">
        <v>0</v>
      </c>
    </row>
    <row r="782">
      <c r="I782" s="87" t="n">
        <v>46193</v>
      </c>
      <c r="J782" s="87" t="n">
        <v>46196</v>
      </c>
      <c r="K782" s="87" t="n">
        <v>46194</v>
      </c>
      <c r="L782" t="n">
        <v>0</v>
      </c>
    </row>
    <row r="783">
      <c r="I783" s="87" t="n">
        <v>46193</v>
      </c>
      <c r="J783" s="87" t="n">
        <v>46196</v>
      </c>
      <c r="K783" s="87" t="n">
        <v>46194</v>
      </c>
      <c r="L783" t="n">
        <v>0</v>
      </c>
    </row>
    <row r="784">
      <c r="I784" s="87" t="n">
        <v>46193</v>
      </c>
      <c r="J784" s="87" t="n">
        <v>46196</v>
      </c>
      <c r="K784" s="87" t="n">
        <v>46194</v>
      </c>
      <c r="L784" t="n">
        <v>0</v>
      </c>
    </row>
    <row r="785">
      <c r="I785" s="87" t="n">
        <v>46193</v>
      </c>
      <c r="J785" s="87" t="n">
        <v>46196</v>
      </c>
      <c r="K785" s="87" t="n">
        <v>46194</v>
      </c>
      <c r="L785" t="n">
        <v>0</v>
      </c>
    </row>
    <row r="786">
      <c r="I786" s="87" t="n">
        <v>46193</v>
      </c>
      <c r="J786" s="87" t="n">
        <v>46196</v>
      </c>
      <c r="K786" s="87" t="n">
        <v>46194</v>
      </c>
      <c r="L786" t="n">
        <v>0</v>
      </c>
    </row>
    <row r="787">
      <c r="I787" s="87" t="n">
        <v>46193</v>
      </c>
      <c r="J787" s="87" t="n">
        <v>46196</v>
      </c>
      <c r="K787" s="87" t="n">
        <v>46194</v>
      </c>
      <c r="L787" t="n">
        <v>0</v>
      </c>
    </row>
    <row r="788">
      <c r="I788" s="87" t="n">
        <v>46193</v>
      </c>
      <c r="J788" s="87" t="n">
        <v>46196</v>
      </c>
      <c r="K788" s="87" t="n">
        <v>46194</v>
      </c>
      <c r="L788" t="n">
        <v>0</v>
      </c>
    </row>
    <row r="789">
      <c r="I789" s="87" t="n">
        <v>46193</v>
      </c>
      <c r="J789" s="87" t="n">
        <v>46196</v>
      </c>
      <c r="K789" s="87" t="n">
        <v>46194</v>
      </c>
      <c r="L789" t="n">
        <v>0</v>
      </c>
    </row>
    <row r="790">
      <c r="I790" s="87" t="n">
        <v>46193</v>
      </c>
      <c r="J790" s="87" t="n">
        <v>46196</v>
      </c>
      <c r="K790" s="87" t="n">
        <v>46194</v>
      </c>
      <c r="L790" t="n">
        <v>0</v>
      </c>
    </row>
    <row r="791">
      <c r="I791" s="87" t="n">
        <v>46193</v>
      </c>
      <c r="J791" s="87" t="n">
        <v>46196</v>
      </c>
      <c r="K791" s="87" t="n">
        <v>46194</v>
      </c>
      <c r="L791" t="n">
        <v>0</v>
      </c>
    </row>
    <row r="792">
      <c r="I792" s="87" t="n">
        <v>46193</v>
      </c>
      <c r="J792" s="87" t="n">
        <v>46196</v>
      </c>
      <c r="K792" s="87" t="n">
        <v>46194</v>
      </c>
      <c r="L792" t="n">
        <v>0</v>
      </c>
    </row>
    <row r="793">
      <c r="I793" s="87" t="n">
        <v>46193</v>
      </c>
      <c r="J793" s="87" t="n">
        <v>46196</v>
      </c>
      <c r="K793" s="87" t="n">
        <v>46194</v>
      </c>
      <c r="L793" t="n">
        <v>0</v>
      </c>
    </row>
    <row r="794">
      <c r="I794" s="87" t="n">
        <v>46193</v>
      </c>
      <c r="J794" s="87" t="n">
        <v>46196</v>
      </c>
      <c r="K794" s="87" t="n">
        <v>46194</v>
      </c>
      <c r="L794" t="n">
        <v>0</v>
      </c>
    </row>
    <row r="795">
      <c r="I795" s="87" t="n">
        <v>46193</v>
      </c>
      <c r="J795" s="87" t="n">
        <v>46196</v>
      </c>
      <c r="K795" s="87" t="n">
        <v>46194</v>
      </c>
      <c r="L795" t="n">
        <v>0</v>
      </c>
    </row>
    <row r="796">
      <c r="I796" s="87" t="n">
        <v>46193</v>
      </c>
      <c r="J796" s="87" t="n">
        <v>46196</v>
      </c>
      <c r="K796" s="87" t="n">
        <v>46194</v>
      </c>
      <c r="L796" t="n">
        <v>0</v>
      </c>
    </row>
    <row r="797">
      <c r="I797" s="87" t="n">
        <v>46193</v>
      </c>
      <c r="J797" s="87" t="n">
        <v>46196</v>
      </c>
      <c r="K797" s="87" t="n">
        <v>46194</v>
      </c>
      <c r="L797" t="n">
        <v>0</v>
      </c>
    </row>
    <row r="798">
      <c r="I798" s="87" t="n">
        <v>46193</v>
      </c>
      <c r="J798" s="87" t="n">
        <v>46196</v>
      </c>
      <c r="K798" s="87" t="n">
        <v>46194</v>
      </c>
      <c r="L798" t="n">
        <v>0</v>
      </c>
    </row>
    <row r="799">
      <c r="I799" s="87" t="n">
        <v>46193</v>
      </c>
      <c r="J799" s="87" t="n">
        <v>46196</v>
      </c>
      <c r="K799" s="87" t="n">
        <v>46194</v>
      </c>
      <c r="L799" t="n">
        <v>0</v>
      </c>
    </row>
    <row r="800">
      <c r="I800" s="87" t="n">
        <v>46193</v>
      </c>
      <c r="J800" s="87" t="n">
        <v>46196</v>
      </c>
      <c r="K800" s="87" t="n">
        <v>46194</v>
      </c>
      <c r="L800" t="n">
        <v>0</v>
      </c>
    </row>
    <row r="801">
      <c r="I801" s="87" t="n">
        <v>46193</v>
      </c>
      <c r="J801" s="87" t="n">
        <v>46196</v>
      </c>
      <c r="K801" s="87" t="n">
        <v>46194</v>
      </c>
      <c r="L801" t="n">
        <v>0</v>
      </c>
    </row>
    <row r="802">
      <c r="I802" s="87" t="n">
        <v>46193</v>
      </c>
      <c r="J802" s="87" t="n">
        <v>46196</v>
      </c>
      <c r="K802" s="87" t="n">
        <v>46194</v>
      </c>
      <c r="L802" t="n">
        <v>0</v>
      </c>
    </row>
    <row r="803">
      <c r="I803" s="87" t="n">
        <v>46193</v>
      </c>
      <c r="J803" s="87" t="n">
        <v>46196</v>
      </c>
      <c r="K803" s="87" t="n">
        <v>46194</v>
      </c>
      <c r="L803" t="n">
        <v>0</v>
      </c>
    </row>
    <row r="804">
      <c r="I804" s="87" t="n">
        <v>46193</v>
      </c>
      <c r="J804" s="87" t="n">
        <v>46196</v>
      </c>
      <c r="K804" s="87" t="n">
        <v>46194</v>
      </c>
      <c r="L804" t="n">
        <v>0</v>
      </c>
    </row>
    <row r="805">
      <c r="I805" s="87" t="n">
        <v>46193</v>
      </c>
      <c r="J805" s="87" t="n">
        <v>46196</v>
      </c>
      <c r="K805" s="87" t="n">
        <v>46194</v>
      </c>
      <c r="L805" t="n">
        <v>0</v>
      </c>
    </row>
    <row r="806">
      <c r="I806" s="87" t="n">
        <v>46193</v>
      </c>
      <c r="J806" s="87" t="n">
        <v>46196</v>
      </c>
      <c r="K806" s="87" t="n">
        <v>46194</v>
      </c>
      <c r="L806" t="n">
        <v>0</v>
      </c>
    </row>
    <row r="807">
      <c r="I807" s="87" t="n">
        <v>46193</v>
      </c>
      <c r="J807" s="87" t="n">
        <v>46196</v>
      </c>
      <c r="K807" s="87" t="n">
        <v>46194</v>
      </c>
      <c r="L807" t="n">
        <v>0</v>
      </c>
    </row>
    <row r="808">
      <c r="I808" s="87" t="n">
        <v>46193</v>
      </c>
      <c r="J808" s="87" t="n">
        <v>46196</v>
      </c>
      <c r="K808" s="87" t="n">
        <v>46194</v>
      </c>
      <c r="L808" t="n">
        <v>0</v>
      </c>
    </row>
    <row r="809">
      <c r="A809" t="inlineStr">
        <is>
          <t>WDD330</t>
        </is>
      </c>
      <c r="B809" t="inlineStr">
        <is>
          <t>New Student Added</t>
        </is>
      </c>
      <c r="C809" t="inlineStr">
        <is>
          <t xml:space="preserve"> </t>
        </is>
      </c>
      <c r="D809" t="n">
        <v>0</v>
      </c>
      <c r="E809" t="n">
        <v>6</v>
      </c>
      <c r="H809" t="inlineStr">
        <is>
          <t>y</t>
        </is>
      </c>
      <c r="I809" s="87" t="n">
        <v>46199</v>
      </c>
      <c r="J809" s="87" t="n">
        <v>46202</v>
      </c>
      <c r="K809" s="87" t="n">
        <v>46201</v>
      </c>
      <c r="L809" t="n">
        <v>0</v>
      </c>
      <c r="M809" t="inlineStr">
        <is>
          <t>Welcome Email</t>
        </is>
      </c>
      <c r="N809" t="inlineStr">
        <is>
          <t>Send a message to new students to welcome them to class and help them submit any assignments they missed.</t>
        </is>
      </c>
    </row>
    <row r="810">
      <c r="A810" t="inlineStr">
        <is>
          <t>WDD330</t>
        </is>
      </c>
      <c r="B810" t="inlineStr">
        <is>
          <t>Scheduled - Not Logged In</t>
        </is>
      </c>
      <c r="D810" t="n">
        <v>1</v>
      </c>
      <c r="E810" t="n">
        <v>4</v>
      </c>
      <c r="I810" s="87" t="n">
        <v>46204</v>
      </c>
      <c r="J810" s="87" t="n">
        <v>46207</v>
      </c>
      <c r="K810" s="87" t="n">
        <v>46208</v>
      </c>
      <c r="L810" t="n">
        <v>0</v>
      </c>
      <c r="M810" t="inlineStr">
        <is>
          <t>Not Logged into Canvas</t>
        </is>
      </c>
      <c r="N810" t="inlineStr">
        <is>
          <t>Email (outside the IMS) students who have not logged into Canvas, reminding them that term started and encouraging them to get started.</t>
        </is>
      </c>
    </row>
    <row r="811">
      <c r="A811" t="inlineStr">
        <is>
          <t>WDD330</t>
        </is>
      </c>
      <c r="B811" t="inlineStr">
        <is>
          <t>Missing Assignment</t>
        </is>
      </c>
      <c r="C811" t="inlineStr">
        <is>
          <t>W01 Individual Activity: Add Item to Cart</t>
        </is>
      </c>
      <c r="D811" t="n">
        <v>2</v>
      </c>
      <c r="E811" t="n">
        <v>2</v>
      </c>
      <c r="F811" t="n">
        <v>10</v>
      </c>
      <c r="G811" t="inlineStr">
        <is>
          <t xml:space="preserve"> </t>
        </is>
      </c>
      <c r="H811" t="inlineStr">
        <is>
          <t>y</t>
        </is>
      </c>
      <c r="I811" s="87" t="n">
        <v>46209</v>
      </c>
      <c r="J811" s="87" t="n">
        <v>46212</v>
      </c>
      <c r="K811" s="87" t="n">
        <v>46215</v>
      </c>
      <c r="L811" t="e">
        <v>#VALUE!</v>
      </c>
      <c r="M811" t="inlineStr">
        <is>
          <t>Missing Assignment: W01 Individual Activity: Add Item to Cart</t>
        </is>
      </c>
      <c r="N811" t="inlineStr">
        <is>
          <t>Check in with student missing W01 Individual Activity: Add Item to Cart</t>
        </is>
      </c>
    </row>
    <row r="812">
      <c r="A812" t="inlineStr">
        <is>
          <t>WDD330</t>
        </is>
      </c>
      <c r="B812" t="inlineStr">
        <is>
          <t>Quiz Question</t>
        </is>
      </c>
      <c r="C812" t="inlineStr">
        <is>
          <t>W01 60-second Status Update: NeedHelp Answer: Yes</t>
        </is>
      </c>
      <c r="D812" t="n">
        <v>2</v>
      </c>
      <c r="E812" t="n">
        <v>2</v>
      </c>
      <c r="I812" s="87" t="n">
        <v>46209</v>
      </c>
      <c r="J812" s="87" t="n">
        <v>46212</v>
      </c>
      <c r="K812" s="87" t="n">
        <v>46215</v>
      </c>
      <c r="L812" t="n">
        <v>0</v>
      </c>
      <c r="M812" t="inlineStr">
        <is>
          <t>Response to 60-second W01 Assignment: Initial Site Creation. Student feels overwhelmed.</t>
        </is>
      </c>
      <c r="N812" t="inlineStr">
        <is>
          <t>Student responded feeling overwhelmed in W01 60-second Status Update. Reach out to student to see how you can help.</t>
        </is>
      </c>
    </row>
    <row r="813">
      <c r="A813" t="inlineStr">
        <is>
          <t>WDD330</t>
        </is>
      </c>
      <c r="B813" t="inlineStr">
        <is>
          <t>Grader-Issued 0</t>
        </is>
      </c>
      <c r="C813" t="inlineStr">
        <is>
          <t>W01 Individual Activity: Add Item to Cart</t>
        </is>
      </c>
      <c r="D813" t="n">
        <v>2</v>
      </c>
      <c r="E813" t="n">
        <v>4</v>
      </c>
      <c r="F813" t="n">
        <v>10</v>
      </c>
      <c r="H813" t="inlineStr">
        <is>
          <t>y</t>
        </is>
      </c>
      <c r="I813" s="87" t="n">
        <v>46211</v>
      </c>
      <c r="J813" s="87" t="n">
        <v>46214</v>
      </c>
      <c r="K813" s="87" t="n">
        <v>46215</v>
      </c>
      <c r="L813" t="n">
        <v>0</v>
      </c>
      <c r="M813" t="inlineStr">
        <is>
          <t>The student was given a Grader issued 0 on W01 Individual Activity: Add Item to Cart</t>
        </is>
      </c>
      <c r="N813" t="inlineStr">
        <is>
          <t>Grader issued 0 for: W01 Individual Activity: Add Item to Cart. Log into Canvas and see the grader comments. Work with the student to help resubmit.</t>
        </is>
      </c>
    </row>
    <row r="814">
      <c r="A814" t="inlineStr">
        <is>
          <t>WDD330</t>
        </is>
      </c>
      <c r="B814" t="inlineStr">
        <is>
          <t>High Performance</t>
        </is>
      </c>
      <c r="C814" t="inlineStr">
        <is>
          <t>W01 Individual Activity: Add Item to Cart</t>
        </is>
      </c>
      <c r="D814" t="n">
        <v>2</v>
      </c>
      <c r="E814" t="n">
        <v>5</v>
      </c>
      <c r="F814" t="n">
        <v>10</v>
      </c>
      <c r="G814" t="n">
        <v>0.9</v>
      </c>
      <c r="H814" t="inlineStr">
        <is>
          <t>y</t>
        </is>
      </c>
      <c r="I814" s="87" t="n">
        <v>46212</v>
      </c>
      <c r="J814" s="87" t="n">
        <v>46215</v>
      </c>
      <c r="K814" s="87" t="n">
        <v>46215</v>
      </c>
      <c r="L814" t="n">
        <v>9</v>
      </c>
      <c r="M814" t="inlineStr">
        <is>
          <t>High Performance: W01 Individual Activity: Add Item to Cart</t>
        </is>
      </c>
      <c r="N814" t="inlineStr">
        <is>
          <t>Provide Positive Feedback on W01 Individual Activity: Add Item to Cart</t>
        </is>
      </c>
    </row>
    <row r="815">
      <c r="A815" t="inlineStr">
        <is>
          <t>WDD330</t>
        </is>
      </c>
      <c r="B815" t="inlineStr">
        <is>
          <t>Low Performance</t>
        </is>
      </c>
      <c r="C815" t="inlineStr">
        <is>
          <t>W01 Individual Activity: Add Item to Cart</t>
        </is>
      </c>
      <c r="D815" t="n">
        <v>2</v>
      </c>
      <c r="E815" t="n">
        <v>5</v>
      </c>
      <c r="F815" t="n">
        <v>10</v>
      </c>
      <c r="G815" t="n">
        <v>0.7</v>
      </c>
      <c r="H815" t="inlineStr">
        <is>
          <t>y</t>
        </is>
      </c>
      <c r="I815" s="87" t="n">
        <v>46212</v>
      </c>
      <c r="J815" s="87" t="n">
        <v>46215</v>
      </c>
      <c r="K815" s="87" t="n">
        <v>46215</v>
      </c>
      <c r="L815" t="n">
        <v>7</v>
      </c>
      <c r="M815" t="inlineStr">
        <is>
          <t>Low Performance: W01 Individual Activity: Add Item to Cart</t>
        </is>
      </c>
      <c r="N815" t="inlineStr">
        <is>
          <t xml:space="preserve">At Risk. Student scored below 70% on W01 Individual Activity: Add Item to Cart. Check in to see how you can help. </t>
        </is>
      </c>
    </row>
    <row r="816">
      <c r="A816" t="inlineStr">
        <is>
          <t>WDD330</t>
        </is>
      </c>
      <c r="B816" t="inlineStr">
        <is>
          <t>Missing Assignment</t>
        </is>
      </c>
      <c r="C816" t="inlineStr">
        <is>
          <t>W02 Individual Activity: Dynamic Product List</t>
        </is>
      </c>
      <c r="D816" t="n">
        <v>3</v>
      </c>
      <c r="E816" t="n">
        <v>2</v>
      </c>
      <c r="F816" t="n">
        <v>10</v>
      </c>
      <c r="H816" t="inlineStr">
        <is>
          <t>y</t>
        </is>
      </c>
      <c r="I816" s="87" t="n">
        <v>46216</v>
      </c>
      <c r="J816" s="87" t="n">
        <v>46219</v>
      </c>
      <c r="K816" s="87" t="n">
        <v>46222</v>
      </c>
      <c r="L816" t="n">
        <v>0</v>
      </c>
      <c r="M816" t="inlineStr">
        <is>
          <t>Missing Assignment: W02 Individual Activity: Dynamic Product List</t>
        </is>
      </c>
      <c r="N816" t="inlineStr">
        <is>
          <t>Check in with student missing W02 Individual Activity: Dynamic Product List</t>
        </is>
      </c>
    </row>
    <row r="817">
      <c r="A817" t="inlineStr">
        <is>
          <t>WDD330</t>
        </is>
      </c>
      <c r="B817" t="inlineStr">
        <is>
          <t>Quiz Question</t>
        </is>
      </c>
      <c r="C817" t="inlineStr">
        <is>
          <t>W02 60-second Status Update: NeedHelp Answer: Yes</t>
        </is>
      </c>
      <c r="D817" t="n">
        <v>3</v>
      </c>
      <c r="E817" t="n">
        <v>2</v>
      </c>
      <c r="H817" t="inlineStr">
        <is>
          <t>y</t>
        </is>
      </c>
      <c r="I817" s="87" t="n">
        <v>46216</v>
      </c>
      <c r="J817" s="87" t="n">
        <v>46219</v>
      </c>
      <c r="K817" s="87" t="n">
        <v>46222</v>
      </c>
      <c r="L817" t="n">
        <v>0</v>
      </c>
      <c r="M817" t="inlineStr">
        <is>
          <t>Response to 60-second W02 Status Update. Student feels overwhelmed.</t>
        </is>
      </c>
      <c r="N817" t="inlineStr">
        <is>
          <t>Student responded feeling overwhelmed in W02 60-second Status Update. Reach out to student to see how you can help.</t>
        </is>
      </c>
    </row>
    <row r="818">
      <c r="A818" t="inlineStr">
        <is>
          <t>WDD330</t>
        </is>
      </c>
      <c r="B818" t="inlineStr">
        <is>
          <t>Grader-Issued 0</t>
        </is>
      </c>
      <c r="C818" t="inlineStr">
        <is>
          <t>W02 Individual Activity: Dynamic Product List</t>
        </is>
      </c>
      <c r="D818" t="n">
        <v>3</v>
      </c>
      <c r="E818" t="n">
        <v>4</v>
      </c>
      <c r="F818" t="n">
        <v>10</v>
      </c>
      <c r="H818" t="inlineStr">
        <is>
          <t>y</t>
        </is>
      </c>
      <c r="I818" s="87" t="n">
        <v>46218</v>
      </c>
      <c r="J818" s="87" t="n">
        <v>46221</v>
      </c>
      <c r="K818" s="87" t="n">
        <v>46222</v>
      </c>
      <c r="L818" t="n">
        <v>0</v>
      </c>
      <c r="M818" t="inlineStr">
        <is>
          <t>The student was given a Grader issued 0 on W02 Individual Activity: Dynamic Product List</t>
        </is>
      </c>
      <c r="N818" t="inlineStr">
        <is>
          <t>Grader issued 0 for W02 Individual Activity: Dynamic Product List. Log into Canvas and see the grader comments. Work with the student to help resubmit.</t>
        </is>
      </c>
    </row>
    <row r="819">
      <c r="A819" t="inlineStr">
        <is>
          <t>WDD330</t>
        </is>
      </c>
      <c r="B819" t="inlineStr">
        <is>
          <t>High Performance</t>
        </is>
      </c>
      <c r="C819" t="inlineStr">
        <is>
          <t>W02 Individual Activity: Dynamic Product List</t>
        </is>
      </c>
      <c r="D819" t="n">
        <v>3</v>
      </c>
      <c r="E819" t="n">
        <v>5</v>
      </c>
      <c r="F819" t="n">
        <v>10</v>
      </c>
      <c r="G819" t="n">
        <v>0.9</v>
      </c>
      <c r="H819" t="inlineStr">
        <is>
          <t>y</t>
        </is>
      </c>
      <c r="I819" s="87" t="n">
        <v>46219</v>
      </c>
      <c r="J819" s="87" t="n">
        <v>46222</v>
      </c>
      <c r="K819" s="87" t="n">
        <v>46222</v>
      </c>
      <c r="L819" t="n">
        <v>9</v>
      </c>
      <c r="M819" t="inlineStr">
        <is>
          <t>High Performance: W02 Individual Activity: Dynamic Product List</t>
        </is>
      </c>
      <c r="N819" t="inlineStr">
        <is>
          <t>Provide Positive Feedback on W02 Individual Activity: Dynamic Product List</t>
        </is>
      </c>
    </row>
    <row r="820">
      <c r="A820" t="inlineStr">
        <is>
          <t>WDD330</t>
        </is>
      </c>
      <c r="B820" t="inlineStr">
        <is>
          <t>Low Performance</t>
        </is>
      </c>
      <c r="C820" t="inlineStr">
        <is>
          <t>W02 Individual Activity: Dynamic Product List</t>
        </is>
      </c>
      <c r="D820" t="n">
        <v>3</v>
      </c>
      <c r="E820" t="n">
        <v>5</v>
      </c>
      <c r="F820" t="n">
        <v>10</v>
      </c>
      <c r="G820" t="n">
        <v>0.7</v>
      </c>
      <c r="H820" t="inlineStr">
        <is>
          <t>y</t>
        </is>
      </c>
      <c r="I820" s="87" t="n">
        <v>46219</v>
      </c>
      <c r="J820" s="87" t="n">
        <v>46222</v>
      </c>
      <c r="K820" s="87" t="n">
        <v>46222</v>
      </c>
      <c r="L820" t="n">
        <v>7</v>
      </c>
      <c r="M820" t="inlineStr">
        <is>
          <t>Low Performance: W02 Individual Activity: Dynamic Product List</t>
        </is>
      </c>
      <c r="N820" t="inlineStr">
        <is>
          <t xml:space="preserve">At Risk. Student scored below 70% on W02 Individual Activity: Dynamic Product List. Check in to see how you can help. </t>
        </is>
      </c>
    </row>
    <row r="821">
      <c r="A821" t="inlineStr">
        <is>
          <t>WDD330</t>
        </is>
      </c>
      <c r="B821" t="inlineStr">
        <is>
          <t>Missing Assignment</t>
        </is>
      </c>
      <c r="C821" t="inlineStr">
        <is>
          <t>W03 Final Project: Brainstorm</t>
        </is>
      </c>
      <c r="D821" t="n">
        <v>4</v>
      </c>
      <c r="E821" t="n">
        <v>2</v>
      </c>
      <c r="F821" t="n">
        <v>10</v>
      </c>
      <c r="H821" t="inlineStr">
        <is>
          <t>y</t>
        </is>
      </c>
      <c r="I821" s="87" t="n">
        <v>46223</v>
      </c>
      <c r="J821" s="87" t="n">
        <v>46226</v>
      </c>
      <c r="K821" s="87" t="n">
        <v>46229</v>
      </c>
      <c r="L821" t="n">
        <v>0</v>
      </c>
      <c r="M821" t="inlineStr">
        <is>
          <t>Missing Assignment: W03 Final Project: Brainstorm</t>
        </is>
      </c>
      <c r="N821" t="inlineStr">
        <is>
          <t>Check in with student missing W03 Final Project: Brainstorm</t>
        </is>
      </c>
    </row>
    <row r="822">
      <c r="A822" t="inlineStr">
        <is>
          <t>WDD330</t>
        </is>
      </c>
      <c r="B822" t="inlineStr">
        <is>
          <t>Quiz Question</t>
        </is>
      </c>
      <c r="C822" t="inlineStr">
        <is>
          <t>W03 60-second Status Update: NeedHelp Answer: Yes</t>
        </is>
      </c>
      <c r="D822" t="n">
        <v>4</v>
      </c>
      <c r="E822" t="n">
        <v>2</v>
      </c>
      <c r="H822" t="inlineStr">
        <is>
          <t>y</t>
        </is>
      </c>
      <c r="I822" s="87" t="n">
        <v>46223</v>
      </c>
      <c r="J822" s="87" t="n">
        <v>46226</v>
      </c>
      <c r="K822" s="87" t="n">
        <v>46229</v>
      </c>
      <c r="L822" t="n">
        <v>0</v>
      </c>
      <c r="M822" t="inlineStr">
        <is>
          <t>Response to 60-second W03 Status Update. Student feels overwhelmed.</t>
        </is>
      </c>
      <c r="N822" t="inlineStr">
        <is>
          <t>Student responded feeling overwhelmed in W03 60-second Status Update. Reach out to student to see how you can help.</t>
        </is>
      </c>
    </row>
    <row r="823">
      <c r="A823" t="inlineStr">
        <is>
          <t>WDD330</t>
        </is>
      </c>
      <c r="B823" t="inlineStr">
        <is>
          <t>Grader-Issued 0</t>
        </is>
      </c>
      <c r="C823" t="inlineStr">
        <is>
          <t>W03 Final Project: Brainstorm</t>
        </is>
      </c>
      <c r="D823" t="n">
        <v>4</v>
      </c>
      <c r="E823" t="n">
        <v>4</v>
      </c>
      <c r="F823" t="n">
        <v>10</v>
      </c>
      <c r="H823" t="inlineStr">
        <is>
          <t>y</t>
        </is>
      </c>
      <c r="I823" s="87" t="n">
        <v>46225</v>
      </c>
      <c r="J823" s="87" t="n">
        <v>46228</v>
      </c>
      <c r="K823" s="87" t="n">
        <v>46229</v>
      </c>
      <c r="L823" t="n">
        <v>0</v>
      </c>
      <c r="M823" t="inlineStr">
        <is>
          <t>The student was given a Grader issued 0 on W03 Final Project: Brainstorm</t>
        </is>
      </c>
      <c r="N823" t="inlineStr">
        <is>
          <t>Grader issued 0 for W03 Final Project: Brainstorm. Log into Canvas and see the grader comments. Work with the student to help resubmit.</t>
        </is>
      </c>
    </row>
    <row r="824">
      <c r="A824" t="inlineStr">
        <is>
          <t>WDD330</t>
        </is>
      </c>
      <c r="B824" t="inlineStr">
        <is>
          <t>Scheduled - Low Current Grade</t>
        </is>
      </c>
      <c r="C824" t="inlineStr">
        <is>
          <t>Withdraw Deadline Reminder</t>
        </is>
      </c>
      <c r="D824" t="n">
        <v>4</v>
      </c>
      <c r="E824" t="n">
        <v>4</v>
      </c>
      <c r="G824" t="n">
        <v>0.5</v>
      </c>
      <c r="I824" s="87" t="n">
        <v>46225</v>
      </c>
      <c r="J824" s="87" t="n">
        <v>46228</v>
      </c>
      <c r="K824" s="87" t="n">
        <v>46229</v>
      </c>
      <c r="L824" t="n">
        <v>0</v>
      </c>
      <c r="M824" t="inlineStr">
        <is>
          <t>Failing student. Withdraw Reminder</t>
        </is>
      </c>
      <c r="N824" t="inlineStr">
        <is>
          <t>Email students who are currently failing with little chance to catch up, reminding them of the withdraw deadline.</t>
        </is>
      </c>
    </row>
    <row r="825">
      <c r="A825" t="inlineStr">
        <is>
          <t>WDD330</t>
        </is>
      </c>
      <c r="B825" t="inlineStr">
        <is>
          <t>High Performance</t>
        </is>
      </c>
      <c r="C825" t="inlineStr">
        <is>
          <t>W03 Final Project: Brainstorm</t>
        </is>
      </c>
      <c r="D825" t="n">
        <v>4</v>
      </c>
      <c r="E825" t="n">
        <v>5</v>
      </c>
      <c r="F825" t="n">
        <v>10</v>
      </c>
      <c r="G825" t="n">
        <v>0.9</v>
      </c>
      <c r="H825" t="inlineStr">
        <is>
          <t>y</t>
        </is>
      </c>
      <c r="I825" s="87" t="n">
        <v>46226</v>
      </c>
      <c r="J825" s="87" t="n">
        <v>46229</v>
      </c>
      <c r="K825" s="87" t="n">
        <v>46229</v>
      </c>
      <c r="L825" t="n">
        <v>9</v>
      </c>
      <c r="M825" t="inlineStr">
        <is>
          <t>High Performance: W03 Final Project: Brainstorm</t>
        </is>
      </c>
      <c r="N825" t="inlineStr">
        <is>
          <t>Provide Positive Feedback on W03 Final Project: Brainstorm</t>
        </is>
      </c>
    </row>
    <row r="826">
      <c r="A826" t="inlineStr">
        <is>
          <t>WDD330</t>
        </is>
      </c>
      <c r="B826" t="inlineStr">
        <is>
          <t>Low Performance</t>
        </is>
      </c>
      <c r="C826" t="inlineStr">
        <is>
          <t>W03 Final Project: Brainstorm</t>
        </is>
      </c>
      <c r="D826" t="n">
        <v>4</v>
      </c>
      <c r="E826" t="n">
        <v>5</v>
      </c>
      <c r="F826" t="n">
        <v>10</v>
      </c>
      <c r="G826" t="n">
        <v>0.7</v>
      </c>
      <c r="H826" t="inlineStr">
        <is>
          <t>y</t>
        </is>
      </c>
      <c r="I826" s="87" t="n">
        <v>46226</v>
      </c>
      <c r="J826" s="87" t="n">
        <v>46229</v>
      </c>
      <c r="K826" s="87" t="n">
        <v>46229</v>
      </c>
      <c r="L826" t="n">
        <v>7</v>
      </c>
      <c r="M826" t="inlineStr">
        <is>
          <t>Low Performance: W03 Final Project: Brainstorm</t>
        </is>
      </c>
      <c r="N826" t="inlineStr">
        <is>
          <t xml:space="preserve">At Risk. Student scored below 70% on W03 Final Project: Brainstorm. Check in to see how you can help. </t>
        </is>
      </c>
    </row>
    <row r="827">
      <c r="A827" t="inlineStr">
        <is>
          <t>WDD330</t>
        </is>
      </c>
      <c r="B827" t="inlineStr">
        <is>
          <t>Missing Assignment</t>
        </is>
      </c>
      <c r="C827" t="inlineStr">
        <is>
          <t>W04 Final Project: Application Proposal</t>
        </is>
      </c>
      <c r="D827" t="n">
        <v>5</v>
      </c>
      <c r="E827" t="n">
        <v>2</v>
      </c>
      <c r="F827" t="n">
        <v>20</v>
      </c>
      <c r="H827" t="inlineStr">
        <is>
          <t>y</t>
        </is>
      </c>
      <c r="I827" s="87" t="n">
        <v>46230</v>
      </c>
      <c r="J827" s="87" t="n">
        <v>46233</v>
      </c>
      <c r="K827" s="87" t="n">
        <v>46236</v>
      </c>
      <c r="L827" t="n">
        <v>0</v>
      </c>
      <c r="M827" t="inlineStr">
        <is>
          <t>Missing Assignment:  W04 Final Project: Application Proposal</t>
        </is>
      </c>
      <c r="N827" t="inlineStr">
        <is>
          <t>Check in with student missing W04 Final Project: Application Proposal</t>
        </is>
      </c>
    </row>
    <row r="828">
      <c r="A828" t="inlineStr">
        <is>
          <t>WDD330</t>
        </is>
      </c>
      <c r="B828" t="inlineStr">
        <is>
          <t>Quiz Question</t>
        </is>
      </c>
      <c r="C828" t="inlineStr">
        <is>
          <t>W04 60-second Status Update: NeedHelp Answer: Yes</t>
        </is>
      </c>
      <c r="D828" t="n">
        <v>5</v>
      </c>
      <c r="E828" t="n">
        <v>2</v>
      </c>
      <c r="H828" t="inlineStr">
        <is>
          <t>y</t>
        </is>
      </c>
      <c r="I828" s="87" t="n">
        <v>46230</v>
      </c>
      <c r="J828" s="87" t="n">
        <v>46233</v>
      </c>
      <c r="K828" s="87" t="n">
        <v>46236</v>
      </c>
      <c r="L828" t="n">
        <v>0</v>
      </c>
      <c r="M828" t="inlineStr">
        <is>
          <t>Response to 60-second W04 Status Update. Student feels overwhelmed.</t>
        </is>
      </c>
      <c r="N828" t="inlineStr">
        <is>
          <t>Student responded feeling overwhelmed in W04 60-second Status Update. Reach out to student to see how you can help.</t>
        </is>
      </c>
    </row>
    <row r="829">
      <c r="A829" t="inlineStr">
        <is>
          <t>WDD330</t>
        </is>
      </c>
      <c r="B829" t="inlineStr">
        <is>
          <t>Grader-Issued 0</t>
        </is>
      </c>
      <c r="C829" t="inlineStr">
        <is>
          <t>W04 Final Project: Application Proposal</t>
        </is>
      </c>
      <c r="D829" t="n">
        <v>5</v>
      </c>
      <c r="E829" t="n">
        <v>4</v>
      </c>
      <c r="F829" t="n">
        <v>20</v>
      </c>
      <c r="H829" t="inlineStr">
        <is>
          <t>y</t>
        </is>
      </c>
      <c r="I829" s="87" t="n">
        <v>46232</v>
      </c>
      <c r="J829" s="87" t="n">
        <v>46235</v>
      </c>
      <c r="K829" s="87" t="n">
        <v>46236</v>
      </c>
      <c r="L829" t="n">
        <v>0</v>
      </c>
      <c r="M829" t="inlineStr">
        <is>
          <t>The student was given a Grader issued 0 on W04 Final Project: Application Proposal</t>
        </is>
      </c>
      <c r="N829" t="inlineStr">
        <is>
          <t>Grader issued 0 for W04 Final Project: Application Proposal. Log into Canvas and see the grader comments. Work with the student to help resubmit.</t>
        </is>
      </c>
    </row>
    <row r="830">
      <c r="A830" t="inlineStr">
        <is>
          <t>WDD330</t>
        </is>
      </c>
      <c r="B830" t="inlineStr">
        <is>
          <t>Scheduled - Classwide</t>
        </is>
      </c>
      <c r="C830" t="inlineStr">
        <is>
          <t>Registration Reminder 1</t>
        </is>
      </c>
      <c r="D830" t="n">
        <v>5</v>
      </c>
      <c r="E830" t="n">
        <v>4</v>
      </c>
      <c r="I830" s="87" t="n">
        <v>46232</v>
      </c>
      <c r="J830" s="87" t="n">
        <v>46235</v>
      </c>
      <c r="K830" s="87" t="n">
        <v>46236</v>
      </c>
      <c r="L830" t="n">
        <v>0</v>
      </c>
      <c r="M830" t="inlineStr">
        <is>
          <t>Registration Reminder 1</t>
        </is>
      </c>
      <c r="N830" t="inlineStr">
        <is>
          <t>Send a message to all students, reminding them that registration for the next block is now open and encouraging them to go and take action.</t>
        </is>
      </c>
    </row>
    <row r="831">
      <c r="A831" t="inlineStr">
        <is>
          <t>WDD330</t>
        </is>
      </c>
      <c r="B831" t="inlineStr">
        <is>
          <t>High Performance</t>
        </is>
      </c>
      <c r="C831" t="inlineStr">
        <is>
          <t>W04 Final Project: Application Proposal</t>
        </is>
      </c>
      <c r="D831" t="n">
        <v>5</v>
      </c>
      <c r="E831" t="n">
        <v>5</v>
      </c>
      <c r="F831" t="n">
        <v>20</v>
      </c>
      <c r="G831" t="n">
        <v>0.9</v>
      </c>
      <c r="H831" t="inlineStr">
        <is>
          <t>y</t>
        </is>
      </c>
      <c r="I831" s="87" t="n">
        <v>46233</v>
      </c>
      <c r="J831" s="87" t="n">
        <v>46236</v>
      </c>
      <c r="K831" s="87" t="n">
        <v>46236</v>
      </c>
      <c r="L831" t="n">
        <v>18</v>
      </c>
      <c r="M831" t="inlineStr">
        <is>
          <t>High Performance: W04 Final Project: Application Proposal</t>
        </is>
      </c>
      <c r="N831" t="inlineStr">
        <is>
          <t>Provide Positive Feedback on W04 Final Project: Application Proposal</t>
        </is>
      </c>
    </row>
    <row r="832">
      <c r="A832" t="inlineStr">
        <is>
          <t>WDD330</t>
        </is>
      </c>
      <c r="B832" t="inlineStr">
        <is>
          <t>Low Performance</t>
        </is>
      </c>
      <c r="C832" t="inlineStr">
        <is>
          <t>W04 Final Project: Application Proposal</t>
        </is>
      </c>
      <c r="D832" t="n">
        <v>5</v>
      </c>
      <c r="E832" t="n">
        <v>5</v>
      </c>
      <c r="F832" t="n">
        <v>20</v>
      </c>
      <c r="G832" t="n">
        <v>0.7</v>
      </c>
      <c r="H832" t="inlineStr">
        <is>
          <t>y</t>
        </is>
      </c>
      <c r="I832" s="87" t="n">
        <v>46233</v>
      </c>
      <c r="J832" s="87" t="n">
        <v>46236</v>
      </c>
      <c r="K832" s="87" t="n">
        <v>46236</v>
      </c>
      <c r="L832" t="n">
        <v>14</v>
      </c>
      <c r="M832" t="inlineStr">
        <is>
          <t>Low Performance: W04 Final Project: Application Proposal</t>
        </is>
      </c>
      <c r="N832" t="inlineStr">
        <is>
          <t xml:space="preserve">At Risk. Student scored below 70% on W04 Final Project: Application Proposal. Check in to see how you can help. </t>
        </is>
      </c>
    </row>
    <row r="833">
      <c r="A833" t="inlineStr">
        <is>
          <t>WDD330</t>
        </is>
      </c>
      <c r="B833" t="inlineStr">
        <is>
          <t>Missing Assignment</t>
        </is>
      </c>
      <c r="C833" t="inlineStr">
        <is>
          <t>W04 Individual Task(s): Report</t>
        </is>
      </c>
      <c r="D833" t="n">
        <v>6</v>
      </c>
      <c r="E833" t="n">
        <v>2</v>
      </c>
      <c r="F833" t="n">
        <v>10</v>
      </c>
      <c r="H833" t="inlineStr">
        <is>
          <t>y</t>
        </is>
      </c>
      <c r="I833" s="87" t="n">
        <v>46237</v>
      </c>
      <c r="J833" s="87" t="n">
        <v>46240</v>
      </c>
      <c r="K833" s="87" t="n">
        <v>46243</v>
      </c>
      <c r="L833" t="n">
        <v>0</v>
      </c>
      <c r="M833" t="inlineStr">
        <is>
          <t>Missing Assignment: W04 Individual Task(s): Report</t>
        </is>
      </c>
      <c r="N833" t="inlineStr">
        <is>
          <t>Check in with student missing W04 Individual Task(s): Report</t>
        </is>
      </c>
    </row>
    <row r="834">
      <c r="A834" t="inlineStr">
        <is>
          <t>WDD330</t>
        </is>
      </c>
      <c r="B834" t="inlineStr">
        <is>
          <t>Quiz Question</t>
        </is>
      </c>
      <c r="C834" t="inlineStr">
        <is>
          <t>W05 60-second Status Update: NeedHelp Answer: Yes</t>
        </is>
      </c>
      <c r="D834" t="n">
        <v>6</v>
      </c>
      <c r="E834" t="n">
        <v>2</v>
      </c>
      <c r="H834" t="inlineStr">
        <is>
          <t>y</t>
        </is>
      </c>
      <c r="I834" s="87" t="n">
        <v>46237</v>
      </c>
      <c r="J834" s="87" t="n">
        <v>46240</v>
      </c>
      <c r="K834" s="87" t="n">
        <v>46243</v>
      </c>
      <c r="L834" t="n">
        <v>0</v>
      </c>
      <c r="M834" t="inlineStr">
        <is>
          <t>Response to 60-second W05 Status Update. Student feels overwhelmed.</t>
        </is>
      </c>
      <c r="N834" t="inlineStr">
        <is>
          <t>Student responded feeling overwhelmed in W05 60-second Status Update. Reach out to student to see how you can help.</t>
        </is>
      </c>
    </row>
    <row r="835">
      <c r="A835" t="inlineStr">
        <is>
          <t>WDD330</t>
        </is>
      </c>
      <c r="B835" t="inlineStr">
        <is>
          <t>Grader-Issued 0</t>
        </is>
      </c>
      <c r="C835" t="inlineStr">
        <is>
          <t>W04 Individual Task(s): Report</t>
        </is>
      </c>
      <c r="D835" t="n">
        <v>6</v>
      </c>
      <c r="E835" t="n">
        <v>4</v>
      </c>
      <c r="F835" t="n">
        <v>10</v>
      </c>
      <c r="H835" t="inlineStr">
        <is>
          <t>y</t>
        </is>
      </c>
      <c r="I835" s="87" t="n">
        <v>46239</v>
      </c>
      <c r="J835" s="87" t="n">
        <v>46242</v>
      </c>
      <c r="K835" s="87" t="n">
        <v>46243</v>
      </c>
      <c r="L835" t="n">
        <v>0</v>
      </c>
      <c r="M835" t="inlineStr">
        <is>
          <t>The student was given a Grader issued 0 on W04 Individual Task(s): Report</t>
        </is>
      </c>
      <c r="N835" t="inlineStr">
        <is>
          <t>Grader issued 0 for W04 Individual Task(s): Report. Log into Canvas and see the grader comments. Work with the student to help resubmit.</t>
        </is>
      </c>
    </row>
    <row r="836">
      <c r="A836" t="inlineStr">
        <is>
          <t>WDD330</t>
        </is>
      </c>
      <c r="B836" t="inlineStr">
        <is>
          <t>High Performance</t>
        </is>
      </c>
      <c r="C836" t="inlineStr">
        <is>
          <t>W05 Individual Task(s): Report</t>
        </is>
      </c>
      <c r="D836" t="n">
        <v>6</v>
      </c>
      <c r="E836" t="n">
        <v>5</v>
      </c>
      <c r="F836" t="n">
        <v>10</v>
      </c>
      <c r="G836" t="n">
        <v>0.9</v>
      </c>
      <c r="H836" t="inlineStr">
        <is>
          <t>y</t>
        </is>
      </c>
      <c r="I836" s="87" t="n">
        <v>46240</v>
      </c>
      <c r="J836" s="87" t="n">
        <v>46243</v>
      </c>
      <c r="K836" s="87" t="n">
        <v>46243</v>
      </c>
      <c r="L836" t="n">
        <v>9</v>
      </c>
      <c r="M836" t="inlineStr">
        <is>
          <t>High Performance: W04 Individual Task(s): Report</t>
        </is>
      </c>
      <c r="N836" t="inlineStr">
        <is>
          <t>Provide Positive Feedback on W04 Individual Task(s): Report</t>
        </is>
      </c>
    </row>
    <row r="837">
      <c r="A837" t="inlineStr">
        <is>
          <t>WDD330</t>
        </is>
      </c>
      <c r="B837" t="inlineStr">
        <is>
          <t>Low Performance</t>
        </is>
      </c>
      <c r="C837" t="inlineStr">
        <is>
          <t>W04 Individual Task(s): Report</t>
        </is>
      </c>
      <c r="D837" t="n">
        <v>6</v>
      </c>
      <c r="E837" t="n">
        <v>5</v>
      </c>
      <c r="F837" t="n">
        <v>10</v>
      </c>
      <c r="G837" t="n">
        <v>0.7</v>
      </c>
      <c r="H837" t="inlineStr">
        <is>
          <t>y</t>
        </is>
      </c>
      <c r="I837" s="87" t="n">
        <v>46240</v>
      </c>
      <c r="J837" s="87" t="n">
        <v>46243</v>
      </c>
      <c r="K837" s="87" t="n">
        <v>46243</v>
      </c>
      <c r="L837" t="n">
        <v>7</v>
      </c>
      <c r="M837" t="inlineStr">
        <is>
          <t>Low Performance: W04 Individual Task(s): Report</t>
        </is>
      </c>
      <c r="N837" t="inlineStr">
        <is>
          <t xml:space="preserve">At Risk. Student scored below 70% on W04 Individual Task(s): Report. Check in to see how you can help. </t>
        </is>
      </c>
    </row>
    <row r="838">
      <c r="A838" t="inlineStr">
        <is>
          <t>WDD330</t>
        </is>
      </c>
      <c r="B838" t="inlineStr">
        <is>
          <t>Scheduled - Classwide</t>
        </is>
      </c>
      <c r="C838" t="inlineStr">
        <is>
          <t>Registration Reminder 2</t>
        </is>
      </c>
      <c r="D838" t="n">
        <v>7</v>
      </c>
      <c r="E838" t="n">
        <v>1</v>
      </c>
      <c r="I838" s="87" t="n">
        <v>46243</v>
      </c>
      <c r="J838" s="87" t="n">
        <v>46246</v>
      </c>
      <c r="K838" s="87" t="n">
        <v>46250</v>
      </c>
      <c r="L838" t="n">
        <v>0</v>
      </c>
      <c r="M838" t="inlineStr">
        <is>
          <t>Registration Reminder 2</t>
        </is>
      </c>
      <c r="N838" t="inlineStr">
        <is>
          <t>Send a message to all students, reminding them that registration for the next block is still open, but will be closing soon. Encourage them to go in and register as soon as possible.</t>
        </is>
      </c>
    </row>
    <row r="839">
      <c r="A839" t="inlineStr">
        <is>
          <t>WDD330</t>
        </is>
      </c>
      <c r="B839" t="inlineStr">
        <is>
          <t>Scheduled - Classwide</t>
        </is>
      </c>
      <c r="C839" t="inlineStr">
        <is>
          <t>End of Block Reminder</t>
        </is>
      </c>
      <c r="D839" t="n">
        <v>7</v>
      </c>
      <c r="E839" t="n">
        <v>2</v>
      </c>
      <c r="I839" s="87" t="n">
        <v>46244</v>
      </c>
      <c r="J839" s="87" t="n">
        <v>46247</v>
      </c>
      <c r="K839" s="87" t="n">
        <v>46250</v>
      </c>
      <c r="L839" t="n">
        <v>0</v>
      </c>
      <c r="M839" t="inlineStr">
        <is>
          <t>End of Block Reminder</t>
        </is>
      </c>
      <c r="N839" t="inlineStr">
        <is>
          <t>Remind Students the course will be closing, submit assignments by deadline, complete End-of-Course Evaluation</t>
        </is>
      </c>
    </row>
    <row r="840">
      <c r="I840" s="87" t="n">
        <v>46193</v>
      </c>
      <c r="J840" s="87" t="n">
        <v>46196</v>
      </c>
      <c r="K840" s="87" t="n">
        <v>46194</v>
      </c>
      <c r="L840" t="n">
        <v>0</v>
      </c>
    </row>
    <row r="841">
      <c r="I841" s="87" t="n">
        <v>46193</v>
      </c>
      <c r="J841" s="87" t="n">
        <v>46196</v>
      </c>
      <c r="K841" s="87" t="n">
        <v>46194</v>
      </c>
      <c r="L841" t="n">
        <v>0</v>
      </c>
    </row>
    <row r="842">
      <c r="I842" s="87" t="n">
        <v>46193</v>
      </c>
      <c r="J842" s="87" t="n">
        <v>46196</v>
      </c>
      <c r="K842" s="87" t="n">
        <v>46194</v>
      </c>
      <c r="L842" t="n">
        <v>0</v>
      </c>
    </row>
    <row r="843">
      <c r="I843" s="87" t="n">
        <v>46193</v>
      </c>
      <c r="J843" s="87" t="n">
        <v>46196</v>
      </c>
      <c r="K843" s="87" t="n">
        <v>46194</v>
      </c>
      <c r="L843" t="n">
        <v>0</v>
      </c>
    </row>
    <row r="844">
      <c r="I844" s="87" t="n">
        <v>46193</v>
      </c>
      <c r="J844" s="87" t="n">
        <v>46196</v>
      </c>
      <c r="K844" s="87" t="n">
        <v>46194</v>
      </c>
      <c r="L844" t="n">
        <v>0</v>
      </c>
    </row>
    <row r="845">
      <c r="I845" s="87" t="n">
        <v>46193</v>
      </c>
      <c r="J845" s="87" t="n">
        <v>46196</v>
      </c>
      <c r="K845" s="87" t="n">
        <v>46194</v>
      </c>
      <c r="L845" t="n">
        <v>0</v>
      </c>
    </row>
    <row r="846">
      <c r="I846" s="87" t="n">
        <v>46193</v>
      </c>
      <c r="J846" s="87" t="n">
        <v>46196</v>
      </c>
      <c r="K846" s="87" t="n">
        <v>46194</v>
      </c>
      <c r="L846" t="n">
        <v>0</v>
      </c>
    </row>
    <row r="847">
      <c r="I847" s="87" t="n">
        <v>46193</v>
      </c>
      <c r="J847" s="87" t="n">
        <v>46196</v>
      </c>
      <c r="K847" s="87" t="n">
        <v>46194</v>
      </c>
      <c r="L847" t="n">
        <v>0</v>
      </c>
    </row>
    <row r="848">
      <c r="I848" s="87" t="n">
        <v>46193</v>
      </c>
      <c r="J848" s="87" t="n">
        <v>46196</v>
      </c>
      <c r="K848" s="87" t="n">
        <v>46194</v>
      </c>
      <c r="L848" t="n">
        <v>0</v>
      </c>
    </row>
    <row r="849">
      <c r="I849" s="87" t="n">
        <v>46193</v>
      </c>
      <c r="J849" s="87" t="n">
        <v>46196</v>
      </c>
      <c r="K849" s="87" t="n">
        <v>46194</v>
      </c>
      <c r="L849" t="n">
        <v>0</v>
      </c>
    </row>
    <row r="850">
      <c r="I850" s="87" t="n">
        <v>46193</v>
      </c>
      <c r="J850" s="87" t="n">
        <v>46196</v>
      </c>
      <c r="K850" s="87" t="n">
        <v>46194</v>
      </c>
      <c r="L850" t="n">
        <v>0</v>
      </c>
    </row>
    <row r="851">
      <c r="I851" s="87" t="n">
        <v>46193</v>
      </c>
      <c r="J851" s="87" t="n">
        <v>46196</v>
      </c>
      <c r="K851" s="87" t="n">
        <v>46194</v>
      </c>
      <c r="L851" t="n">
        <v>0</v>
      </c>
    </row>
    <row r="852">
      <c r="I852" s="87" t="n">
        <v>46193</v>
      </c>
      <c r="J852" s="87" t="n">
        <v>46196</v>
      </c>
      <c r="K852" s="87" t="n">
        <v>46194</v>
      </c>
      <c r="L852" t="n">
        <v>0</v>
      </c>
    </row>
    <row r="853">
      <c r="I853" s="87" t="n">
        <v>46193</v>
      </c>
      <c r="J853" s="87" t="n">
        <v>46196</v>
      </c>
      <c r="K853" s="87" t="n">
        <v>46194</v>
      </c>
      <c r="L853" t="n">
        <v>0</v>
      </c>
    </row>
    <row r="854">
      <c r="I854" s="87" t="n">
        <v>46193</v>
      </c>
      <c r="J854" s="87" t="n">
        <v>46196</v>
      </c>
      <c r="K854" s="87" t="n">
        <v>46194</v>
      </c>
      <c r="L854" t="n">
        <v>0</v>
      </c>
    </row>
    <row r="855">
      <c r="I855" s="87" t="n">
        <v>46193</v>
      </c>
      <c r="J855" s="87" t="n">
        <v>46196</v>
      </c>
      <c r="K855" s="87" t="n">
        <v>46194</v>
      </c>
      <c r="L855" t="n">
        <v>0</v>
      </c>
    </row>
    <row r="856">
      <c r="I856" s="87" t="n">
        <v>46193</v>
      </c>
      <c r="J856" s="87" t="n">
        <v>46196</v>
      </c>
      <c r="K856" s="87" t="n">
        <v>46194</v>
      </c>
      <c r="L856" t="n">
        <v>0</v>
      </c>
    </row>
    <row r="857">
      <c r="I857" s="87" t="n">
        <v>46193</v>
      </c>
      <c r="J857" s="87" t="n">
        <v>46196</v>
      </c>
      <c r="K857" s="87" t="n">
        <v>46194</v>
      </c>
      <c r="L857" t="n">
        <v>0</v>
      </c>
    </row>
    <row r="858">
      <c r="I858" s="87" t="n">
        <v>46193</v>
      </c>
      <c r="J858" s="87" t="n">
        <v>46196</v>
      </c>
      <c r="K858" s="87" t="n">
        <v>46194</v>
      </c>
      <c r="L858" t="n">
        <v>0</v>
      </c>
    </row>
    <row r="859">
      <c r="I859" s="87" t="n">
        <v>46193</v>
      </c>
      <c r="J859" s="87" t="n">
        <v>46196</v>
      </c>
      <c r="K859" s="87" t="n">
        <v>46194</v>
      </c>
      <c r="L859" t="n">
        <v>0</v>
      </c>
    </row>
    <row r="860">
      <c r="I860" s="87" t="n">
        <v>46193</v>
      </c>
      <c r="J860" s="87" t="n">
        <v>46196</v>
      </c>
      <c r="K860" s="87" t="n">
        <v>46194</v>
      </c>
      <c r="L860" t="n">
        <v>0</v>
      </c>
    </row>
    <row r="861">
      <c r="I861" s="87" t="n">
        <v>46193</v>
      </c>
      <c r="J861" s="87" t="n">
        <v>46196</v>
      </c>
      <c r="K861" s="87" t="n">
        <v>46194</v>
      </c>
      <c r="L861" t="n">
        <v>0</v>
      </c>
    </row>
    <row r="862">
      <c r="I862" s="87" t="n">
        <v>46193</v>
      </c>
      <c r="J862" s="87" t="n">
        <v>46196</v>
      </c>
      <c r="K862" s="87" t="n">
        <v>46194</v>
      </c>
      <c r="L862" t="n">
        <v>0</v>
      </c>
    </row>
    <row r="863">
      <c r="I863" s="87" t="n">
        <v>46193</v>
      </c>
      <c r="J863" s="87" t="n">
        <v>46196</v>
      </c>
      <c r="K863" s="87" t="n">
        <v>46194</v>
      </c>
      <c r="L863" t="n">
        <v>0</v>
      </c>
    </row>
    <row r="864">
      <c r="I864" s="87" t="n">
        <v>46193</v>
      </c>
      <c r="J864" s="87" t="n">
        <v>46196</v>
      </c>
      <c r="K864" s="87" t="n">
        <v>46194</v>
      </c>
      <c r="L864" t="n">
        <v>0</v>
      </c>
    </row>
    <row r="865">
      <c r="I865" s="87" t="n">
        <v>46193</v>
      </c>
      <c r="J865" s="87" t="n">
        <v>46196</v>
      </c>
      <c r="K865" s="87" t="n">
        <v>46194</v>
      </c>
      <c r="L865" t="n">
        <v>0</v>
      </c>
    </row>
    <row r="866">
      <c r="I866" s="87" t="n">
        <v>46193</v>
      </c>
      <c r="J866" s="87" t="n">
        <v>46196</v>
      </c>
      <c r="K866" s="87" t="n">
        <v>46194</v>
      </c>
      <c r="L866" t="n">
        <v>0</v>
      </c>
    </row>
    <row r="867">
      <c r="I867" s="87" t="n">
        <v>46193</v>
      </c>
      <c r="J867" s="87" t="n">
        <v>46196</v>
      </c>
      <c r="K867" s="87" t="n">
        <v>46194</v>
      </c>
      <c r="L867" t="n">
        <v>0</v>
      </c>
    </row>
    <row r="868">
      <c r="I868" s="87" t="n">
        <v>46193</v>
      </c>
      <c r="J868" s="87" t="n">
        <v>46196</v>
      </c>
      <c r="K868" s="87" t="n">
        <v>46194</v>
      </c>
      <c r="L868" t="n">
        <v>0</v>
      </c>
    </row>
    <row r="869">
      <c r="I869" s="87" t="n">
        <v>46193</v>
      </c>
      <c r="J869" s="87" t="n">
        <v>46196</v>
      </c>
      <c r="K869" s="87" t="n">
        <v>46194</v>
      </c>
      <c r="L869" t="n">
        <v>0</v>
      </c>
    </row>
    <row r="870">
      <c r="I870" s="87" t="n">
        <v>46193</v>
      </c>
      <c r="J870" s="87" t="n">
        <v>46196</v>
      </c>
      <c r="K870" s="87" t="n">
        <v>46194</v>
      </c>
      <c r="L870" t="n">
        <v>0</v>
      </c>
    </row>
    <row r="871">
      <c r="I871" s="87" t="n">
        <v>46193</v>
      </c>
      <c r="J871" s="87" t="n">
        <v>46196</v>
      </c>
      <c r="K871" s="87" t="n">
        <v>46194</v>
      </c>
      <c r="L871" t="n">
        <v>0</v>
      </c>
    </row>
    <row r="872">
      <c r="I872" s="87" t="n">
        <v>46193</v>
      </c>
      <c r="J872" s="87" t="n">
        <v>46196</v>
      </c>
      <c r="K872" s="87" t="n">
        <v>46194</v>
      </c>
      <c r="L872" t="n">
        <v>0</v>
      </c>
    </row>
    <row r="873">
      <c r="I873" s="87" t="n">
        <v>46193</v>
      </c>
      <c r="J873" s="87" t="n">
        <v>46196</v>
      </c>
      <c r="K873" s="87" t="n">
        <v>46194</v>
      </c>
      <c r="L873" t="n">
        <v>0</v>
      </c>
    </row>
    <row r="874">
      <c r="I874" s="87" t="n">
        <v>46193</v>
      </c>
      <c r="J874" s="87" t="n">
        <v>46196</v>
      </c>
      <c r="K874" s="87" t="n">
        <v>46194</v>
      </c>
      <c r="L874" t="n">
        <v>0</v>
      </c>
    </row>
    <row r="875">
      <c r="I875" s="87" t="n">
        <v>46193</v>
      </c>
      <c r="J875" s="87" t="n">
        <v>46196</v>
      </c>
      <c r="K875" s="87" t="n">
        <v>46194</v>
      </c>
      <c r="L875" t="n">
        <v>0</v>
      </c>
    </row>
    <row r="876">
      <c r="I876" s="87" t="n">
        <v>46193</v>
      </c>
      <c r="J876" s="87" t="n">
        <v>46196</v>
      </c>
      <c r="K876" s="87" t="n">
        <v>46194</v>
      </c>
      <c r="L876" t="n">
        <v>0</v>
      </c>
    </row>
    <row r="877">
      <c r="I877" s="87" t="n">
        <v>46193</v>
      </c>
      <c r="J877" s="87" t="n">
        <v>46196</v>
      </c>
      <c r="K877" s="87" t="n">
        <v>46194</v>
      </c>
      <c r="L877" t="n">
        <v>0</v>
      </c>
    </row>
    <row r="878">
      <c r="I878" s="87" t="n">
        <v>46193</v>
      </c>
      <c r="J878" s="87" t="n">
        <v>46196</v>
      </c>
      <c r="K878" s="87" t="n">
        <v>46194</v>
      </c>
      <c r="L878" t="n">
        <v>0</v>
      </c>
    </row>
    <row r="879">
      <c r="I879" s="87" t="n">
        <v>46193</v>
      </c>
      <c r="J879" s="87" t="n">
        <v>46196</v>
      </c>
      <c r="K879" s="87" t="n">
        <v>46194</v>
      </c>
      <c r="L879" t="n">
        <v>0</v>
      </c>
    </row>
    <row r="880">
      <c r="I880" s="87" t="n">
        <v>46193</v>
      </c>
      <c r="J880" s="87" t="n">
        <v>46196</v>
      </c>
      <c r="K880" s="87" t="n">
        <v>46194</v>
      </c>
      <c r="L880" t="n">
        <v>0</v>
      </c>
    </row>
    <row r="881">
      <c r="I881" s="87" t="n">
        <v>46193</v>
      </c>
      <c r="J881" s="87" t="n">
        <v>46196</v>
      </c>
      <c r="K881" s="87" t="n">
        <v>46194</v>
      </c>
      <c r="L881" t="n">
        <v>0</v>
      </c>
    </row>
    <row r="882">
      <c r="I882" s="87" t="n">
        <v>46193</v>
      </c>
      <c r="J882" s="87" t="n">
        <v>46196</v>
      </c>
      <c r="K882" s="87" t="n">
        <v>46194</v>
      </c>
      <c r="L882" t="n">
        <v>0</v>
      </c>
    </row>
    <row r="883">
      <c r="I883" s="87" t="n">
        <v>46193</v>
      </c>
      <c r="J883" s="87" t="n">
        <v>46196</v>
      </c>
      <c r="K883" s="87" t="n">
        <v>46194</v>
      </c>
      <c r="L883" t="n">
        <v>0</v>
      </c>
    </row>
    <row r="884">
      <c r="I884" s="87" t="n">
        <v>46193</v>
      </c>
      <c r="J884" s="87" t="n">
        <v>46196</v>
      </c>
      <c r="K884" s="87" t="n">
        <v>46194</v>
      </c>
      <c r="L884" t="n">
        <v>0</v>
      </c>
    </row>
    <row r="885">
      <c r="I885" s="87" t="n">
        <v>46193</v>
      </c>
      <c r="J885" s="87" t="n">
        <v>46196</v>
      </c>
      <c r="K885" s="87" t="n">
        <v>46194</v>
      </c>
      <c r="L885" t="n">
        <v>0</v>
      </c>
    </row>
    <row r="886">
      <c r="I886" s="87" t="n">
        <v>46193</v>
      </c>
      <c r="J886" s="87" t="n">
        <v>46196</v>
      </c>
      <c r="K886" s="87" t="n">
        <v>46194</v>
      </c>
      <c r="L886" t="n">
        <v>0</v>
      </c>
    </row>
    <row r="887">
      <c r="I887" s="87" t="n">
        <v>46193</v>
      </c>
      <c r="J887" s="87" t="n">
        <v>46196</v>
      </c>
      <c r="K887" s="87" t="n">
        <v>46194</v>
      </c>
      <c r="L887" t="n">
        <v>0</v>
      </c>
    </row>
  </sheetData>
  <sheetProtection selectLockedCells="0" selectUnlockedCells="0" algorithmName="SHA-512" sheet="1" objects="0" insertRows="0" insertHyperlinks="1" autoFilter="0" scenarios="0" formatColumns="1" deleteColumns="1" insertColumns="1" pivotTables="1" deleteRows="0" formatCells="0" saltValue="O9IzTEXy2WSk75MS7gmByQ==" formatRows="0" sort="0" spinCount="100000" hashValue="pHJXgZ9oG6d33lKh6+T8szMvVBbno2NW41eREBwTQI34s6OmKVwBQfLoTqHxSRAvWONJ9CWW5zaYjvP5dK72IQ=="/>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2025-03-10T21:55:16Z</dcterms:created>
  <dcterms:modified xmlns:dcterms="http://purl.org/dc/terms/" xmlns:xsi="http://www.w3.org/2001/XMLSchema-instance" xsi:type="dcterms:W3CDTF">2026-08-05T21:10:50Z</dcterms:modified>
</cp:coreProperties>
</file>

<file path=docProps/custom.xml><?xml version="1.0" encoding="utf-8"?>
<Properties xmlns="http://schemas.openxmlformats.org/officeDocument/2006/custom-properties">
  <property name="MSIP_Label_defa4170-0d19-0005-0004-bc88714345d2_SetDate" fmtid="{D5CDD505-2E9C-101B-9397-08002B2CF9AE}" pid="2">
    <vt:lpwstr xmlns:vt="http://schemas.openxmlformats.org/officeDocument/2006/docPropsVTypes">2025-03-21T19:19:09Z</vt:lpwstr>
  </property>
  <property name="MSIP_Label_defa4170-0d19-0005-0004-bc88714345d2_Method" fmtid="{D5CDD505-2E9C-101B-9397-08002B2CF9AE}" pid="3">
    <vt:lpwstr xmlns:vt="http://schemas.openxmlformats.org/officeDocument/2006/docPropsVTypes">Standard</vt:lpwstr>
  </property>
  <property name="MSIP_Label_defa4170-0d19-0005-0004-bc88714345d2_Name" fmtid="{D5CDD505-2E9C-101B-9397-08002B2CF9AE}" pid="4">
    <vt:lpwstr xmlns:vt="http://schemas.openxmlformats.org/officeDocument/2006/docPropsVTypes">defa4170-0d19-0005-0004-bc88714345d2</vt:lpwstr>
  </property>
  <property name="MSIP_Label_defa4170-0d19-0005-0004-bc88714345d2_SiteId" fmtid="{D5CDD505-2E9C-101B-9397-08002B2CF9AE}" pid="5">
    <vt:lpwstr xmlns:vt="http://schemas.openxmlformats.org/officeDocument/2006/docPropsVTypes">42804ae1-d2e9-40b7-a4a3-45811234298b</vt:lpwstr>
  </property>
  <property name="MSIP_Label_defa4170-0d19-0005-0004-bc88714345d2_ActionId" fmtid="{D5CDD505-2E9C-101B-9397-08002B2CF9AE}" pid="6">
    <vt:lpwstr xmlns:vt="http://schemas.openxmlformats.org/officeDocument/2006/docPropsVTypes">24ffcfcd-0021-4d41-9ddd-b5d3b6c5abcc</vt:lpwstr>
  </property>
  <property name="MSIP_Label_defa4170-0d19-0005-0004-bc88714345d2_ContentBits" fmtid="{D5CDD505-2E9C-101B-9397-08002B2CF9AE}" pid="7">
    <vt:lpwstr xmlns:vt="http://schemas.openxmlformats.org/officeDocument/2006/docPropsVTypes">0</vt:lpwstr>
  </property>
  <property name="MSIP_Label_defa4170-0d19-0005-0004-bc88714345d2_Tag" fmtid="{D5CDD505-2E9C-101B-9397-08002B2CF9AE}" pid="8">
    <vt:lpwstr xmlns:vt="http://schemas.openxmlformats.org/officeDocument/2006/docPropsVTypes">50, 3, 0, 1</vt:lpwstr>
  </property>
  <property name="MSIP_Label_defa4170-0d19-0005-0004-bc88714345d2_Enabled" fmtid="{D5CDD505-2E9C-101B-9397-08002B2CF9AE}" pid="9">
    <vt:lpwstr xmlns:vt="http://schemas.openxmlformats.org/officeDocument/2006/docPropsVTypes">true</vt:lpwstr>
  </property>
</Properties>
</file>